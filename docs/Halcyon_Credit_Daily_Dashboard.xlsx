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ash/Downloads/"/>
    </mc:Choice>
  </mc:AlternateContent>
  <xr:revisionPtr revIDLastSave="0" documentId="13_ncr:1_{B300D6C6-451D-3647-A640-72D93DE4890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shboard" sheetId="1" r:id="rId1"/>
    <sheet name="Daily Log" sheetId="2" r:id="rId2"/>
    <sheet name="Blockers" sheetId="3" r:id="rId3"/>
    <sheet name="Pending Tasks" sheetId="4" r:id="rId4"/>
    <sheet name="High Priority" sheetId="5" r:id="rId5"/>
    <sheet name="Sprint Tracker" sheetId="6" r:id="rId6"/>
    <sheet name="Backlog" sheetId="7" r:id="rId7"/>
    <sheet name="How to us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J6" i="6" s="1"/>
  <c r="E5" i="6"/>
  <c r="J5" i="6" s="1"/>
  <c r="E4" i="6"/>
  <c r="J4" i="6" s="1"/>
  <c r="E3" i="6"/>
  <c r="C8" i="1" s="1"/>
  <c r="E2" i="6"/>
  <c r="J2" i="6" s="1"/>
  <c r="G42" i="1"/>
  <c r="F42" i="1"/>
  <c r="E42" i="1"/>
  <c r="D42" i="1"/>
  <c r="C42" i="1"/>
  <c r="B42" i="1"/>
  <c r="A42" i="1"/>
  <c r="E20" i="1"/>
  <c r="F20" i="1" s="1"/>
  <c r="E19" i="1"/>
  <c r="F19" i="1" s="1"/>
  <c r="E18" i="1"/>
  <c r="F18" i="1" s="1"/>
  <c r="E17" i="1"/>
  <c r="F17" i="1" s="1"/>
  <c r="E16" i="1"/>
  <c r="F16" i="1" s="1"/>
  <c r="G11" i="1"/>
  <c r="E11" i="1"/>
  <c r="C11" i="1"/>
  <c r="A11" i="1"/>
  <c r="G8" i="1"/>
  <c r="E8" i="1"/>
  <c r="J3" i="6" l="1"/>
</calcChain>
</file>

<file path=xl/sharedStrings.xml><?xml version="1.0" encoding="utf-8"?>
<sst xmlns="http://schemas.openxmlformats.org/spreadsheetml/2006/main" count="611" uniqueCount="275">
  <si>
    <t>Halcyon Credit — Daily Progress Dashboard</t>
  </si>
  <si>
    <t>Agentic Underwriting Copilot  ·  Sprint 0 → Sprint 4  ·  Owner: Yash Gupta</t>
  </si>
  <si>
    <t>Last updated: 2026-06-22</t>
  </si>
  <si>
    <t>KEY METRICS</t>
  </si>
  <si>
    <t>Current Sprint</t>
  </si>
  <si>
    <t>Sprint Progress</t>
  </si>
  <si>
    <t>Total Stories</t>
  </si>
  <si>
    <t>Stories Done</t>
  </si>
  <si>
    <t>Sprint 0</t>
  </si>
  <si>
    <t>Open Blockers</t>
  </si>
  <si>
    <t>Pending Tasks</t>
  </si>
  <si>
    <t>High Priority Items</t>
  </si>
  <si>
    <t>Days into Project</t>
  </si>
  <si>
    <t>SPRINT PROGRESS</t>
  </si>
  <si>
    <t>Sprint</t>
  </si>
  <si>
    <t>Goal</t>
  </si>
  <si>
    <t>Planned pts</t>
  </si>
  <si>
    <t>Done pts</t>
  </si>
  <si>
    <t>% Complete</t>
  </si>
  <si>
    <t>Status</t>
  </si>
  <si>
    <t>Discovery, planning, de-risking</t>
  </si>
  <si>
    <t>Sprint 1</t>
  </si>
  <si>
    <t>POC — end-to-end thin slice</t>
  </si>
  <si>
    <t>Sprint 2</t>
  </si>
  <si>
    <t>Multi-scheme policy + ML hardening</t>
  </si>
  <si>
    <t>Sprint 3</t>
  </si>
  <si>
    <t>Doc verify, regulatory, fairness</t>
  </si>
  <si>
    <t>Sprint 4</t>
  </si>
  <si>
    <t>Audit, guardrails, pilot</t>
  </si>
  <si>
    <t>TODAY’S SNAPSHOT (pulls latest row from Daily Log)</t>
  </si>
  <si>
    <t>Date</t>
  </si>
  <si>
    <t>Planned %</t>
  </si>
  <si>
    <t>Actual %</t>
  </si>
  <si>
    <t>Top tasks done</t>
  </si>
  <si>
    <t>Active blockers</t>
  </si>
  <si>
    <t>Owner</t>
  </si>
  <si>
    <t>Tasks Completed Today</t>
  </si>
  <si>
    <t>Hours Spent</t>
  </si>
  <si>
    <t>Blockers Raised</t>
  </si>
  <si>
    <t>Notes</t>
  </si>
  <si>
    <t>40%</t>
  </si>
  <si>
    <t>48%</t>
  </si>
  <si>
    <t>PRD v2.0 finalised; full Agile backlog authored (15 epics, 54 stories, 217 pts); Sprint 0–4 plan; repo initialised; A-8b drafted</t>
  </si>
  <si>
    <t>A-8b signoff; vector store choice; wireframes</t>
  </si>
  <si>
    <t>Yash</t>
  </si>
  <si>
    <t>Sprint 0 baseline pushed to repo</t>
  </si>
  <si>
    <t>Blocker ID</t>
  </si>
  <si>
    <t>Date Raised</t>
  </si>
  <si>
    <t>Description</t>
  </si>
  <si>
    <t>Severity</t>
  </si>
  <si>
    <t>Workarounds Tried</t>
  </si>
  <si>
    <t>Resolution / Next Step</t>
  </si>
  <si>
    <t>Date Resolved</t>
  </si>
  <si>
    <t>BL-001</t>
  </si>
  <si>
    <t>A-8b (CODE_GENDER / DAYS_BIRTH exclusion) not yet signed off by Compliance SME</t>
  </si>
  <si>
    <t>High</t>
  </si>
  <si>
    <t>Drafted the exclusion note ourselves and shared on Slack; treating as confirmed pending writeback</t>
  </si>
  <si>
    <t>Open</t>
  </si>
  <si>
    <t>Need 10 min with Compliance SME tomorrow morning</t>
  </si>
  <si>
    <t>BL-002</t>
  </si>
  <si>
    <t>Vector store choice (Chroma vs Pinecone) blocking HL architecture + DB schema</t>
  </si>
  <si>
    <t>Built back-of-envelope cost model for both at 200 apps/hr — Chroma ~30% cheaper, needs self-hosting</t>
  </si>
  <si>
    <t>In Progress</t>
  </si>
  <si>
    <t>15-min call with Tech Lead to decide before Sprint 1</t>
  </si>
  <si>
    <t>BL-003</t>
  </si>
  <si>
    <t>Wireframes not started — UX designer pulled to another project</t>
  </si>
  <si>
    <t>Medium</t>
  </si>
  <si>
    <t>UX</t>
  </si>
  <si>
    <t>Sketched low-fi flow on paper (Queue → App Detail → Evidence Panel → Decision)</t>
  </si>
  <si>
    <t>Reassign UX bandwidth tomorrow</t>
  </si>
  <si>
    <t>Task ID</t>
  </si>
  <si>
    <t>Title</t>
  </si>
  <si>
    <t>Epic</t>
  </si>
  <si>
    <t>Due Date</t>
  </si>
  <si>
    <t>Priority</t>
  </si>
  <si>
    <t>US-006</t>
  </si>
  <si>
    <t>End-to-End User Flow Definition</t>
  </si>
  <si>
    <t>EPIC-12</t>
  </si>
  <si>
    <t>Paper sketch done; needs digitisation</t>
  </si>
  <si>
    <t>US-007</t>
  </si>
  <si>
    <t>Wireframes / Mockups</t>
  </si>
  <si>
    <t>Not Started</t>
  </si>
  <si>
    <t>Blocked by BL-003</t>
  </si>
  <si>
    <t>US-008</t>
  </si>
  <si>
    <t>Technical Feasibility Analysis</t>
  </si>
  <si>
    <t>EPIC-15</t>
  </si>
  <si>
    <t>Cost model started, latency budget pending</t>
  </si>
  <si>
    <t>US-009</t>
  </si>
  <si>
    <t>High-Level Architecture</t>
  </si>
  <si>
    <t>Blocked by BL-002</t>
  </si>
  <si>
    <t>US-010</t>
  </si>
  <si>
    <t>DB Design Planning</t>
  </si>
  <si>
    <t>EPIC-10</t>
  </si>
  <si>
    <t>Awaiting vector store decision</t>
  </si>
  <si>
    <t>US-011</t>
  </si>
  <si>
    <t>API Contract (OpenAPI)</t>
  </si>
  <si>
    <t>Depends on US-009</t>
  </si>
  <si>
    <t>US-005</t>
  </si>
  <si>
    <t>A-8b Open-Question Closure</t>
  </si>
  <si>
    <t>Blocked by BL-001</t>
  </si>
  <si>
    <t>US-015</t>
  </si>
  <si>
    <t>DoR &amp; DoD</t>
  </si>
  <si>
    <t>DoR list pending</t>
  </si>
  <si>
    <t>US-003</t>
  </si>
  <si>
    <t>Stakeholder Discussions</t>
  </si>
  <si>
    <t>Interviews to schedule</t>
  </si>
  <si>
    <t>US-004</t>
  </si>
  <si>
    <t>PRD Review &amp; Validation</t>
  </si>
  <si>
    <t>Formal signoff record pending</t>
  </si>
  <si>
    <t>Item</t>
  </si>
  <si>
    <t>Type</t>
  </si>
  <si>
    <t>Why it matters</t>
  </si>
  <si>
    <t>Next Action</t>
  </si>
  <si>
    <t>A-8b signoff from Compliance SME</t>
  </si>
  <si>
    <t>Decision</t>
  </si>
  <si>
    <t>Unblocks ML feature engineering for Sprint 1</t>
  </si>
  <si>
    <t>10-min call with SME tomorrow AM</t>
  </si>
  <si>
    <t>Vector store choice (Chroma vs Pinecone)</t>
  </si>
  <si>
    <t>Tech Lead</t>
  </si>
  <si>
    <t>Drives architecture, DB schema, cost model</t>
  </si>
  <si>
    <t>15-min call with Tech Lead</t>
  </si>
  <si>
    <t>Reassign UX bandwidth for wireframes</t>
  </si>
  <si>
    <t>Resource</t>
  </si>
  <si>
    <t>PM</t>
  </si>
  <si>
    <t>Sprint 0 cannot close without 4 wireframes</t>
  </si>
  <si>
    <t>Discuss with PM in standup</t>
  </si>
  <si>
    <t>Publish OpenAPI v0.1</t>
  </si>
  <si>
    <t>Deliverable</t>
  </si>
  <si>
    <t>Backend + UI can parallelise from Sprint 1</t>
  </si>
  <si>
    <t>After US-009 closes</t>
  </si>
  <si>
    <t>RAG retrieval accuracy spike plan</t>
  </si>
  <si>
    <t>Risk</t>
  </si>
  <si>
    <t>DS</t>
  </si>
  <si>
    <t>★ riskiest PRD assumption (Risk R-1)</t>
  </si>
  <si>
    <t>Draft 30-scenario eval set</t>
  </si>
  <si>
    <t># Stories</t>
  </si>
  <si>
    <t># Done</t>
  </si>
  <si>
    <t>Start</t>
  </si>
  <si>
    <t>End</t>
  </si>
  <si>
    <t>Product Backlog — 54 user stories (reference, edit Status / Owner / % freely)</t>
  </si>
  <si>
    <t>Story</t>
  </si>
  <si>
    <t>Pts</t>
  </si>
  <si>
    <t>US-001</t>
  </si>
  <si>
    <t>Functional Requirement Gathering</t>
  </si>
  <si>
    <t>US-002</t>
  </si>
  <si>
    <t>Business Requirement Analysis</t>
  </si>
  <si>
    <t>Requirement Clarification (A-8b)</t>
  </si>
  <si>
    <t>User Flow Definition</t>
  </si>
  <si>
    <t>Technical Feasibility</t>
  </si>
  <si>
    <t>HL Architecture</t>
  </si>
  <si>
    <t>API Contract Definition</t>
  </si>
  <si>
    <t>US-012</t>
  </si>
  <si>
    <t>Risk Register</t>
  </si>
  <si>
    <t>US-013</t>
  </si>
  <si>
    <t>Backlog Creation</t>
  </si>
  <si>
    <t>Done</t>
  </si>
  <si>
    <t>US-014</t>
  </si>
  <si>
    <t>Sprint Planning</t>
  </si>
  <si>
    <t>US-101</t>
  </si>
  <si>
    <t>Basic Auth</t>
  </si>
  <si>
    <t>EPIC-14</t>
  </si>
  <si>
    <t>US-102</t>
  </si>
  <si>
    <t>Basic Ingestion</t>
  </si>
  <si>
    <t>EPIC-01</t>
  </si>
  <si>
    <t>US-103</t>
  </si>
  <si>
    <t>Baseline ML Risk Score</t>
  </si>
  <si>
    <t>EPIC-02</t>
  </si>
  <si>
    <t>US-104</t>
  </si>
  <si>
    <t>Minimal Policy Corpus (5 clauses)</t>
  </si>
  <si>
    <t>EPIC-03</t>
  </si>
  <si>
    <t>US-105</t>
  </si>
  <si>
    <t>RAG Retrieval (single scheme)</t>
  </si>
  <si>
    <t>US-106</t>
  </si>
  <si>
    <t>POC Recommendation</t>
  </si>
  <si>
    <t>EPIC-08</t>
  </si>
  <si>
    <t>US-107</t>
  </si>
  <si>
    <t>Basic Underwriter UI</t>
  </si>
  <si>
    <t>US-108</t>
  </si>
  <si>
    <t>POC Audit Record</t>
  </si>
  <si>
    <t>US-109</t>
  </si>
  <si>
    <t>Mock Regulatory Stub</t>
  </si>
  <si>
    <t>EPIC-06</t>
  </si>
  <si>
    <t>US-110</t>
  </si>
  <si>
    <t>POC Demo Script</t>
  </si>
  <si>
    <t>US-111</t>
  </si>
  <si>
    <t>RAG Accuracy Spike (★)</t>
  </si>
  <si>
    <t>US-201</t>
  </si>
  <si>
    <t>Hardened ML AUC ≥ 0.80</t>
  </si>
  <si>
    <t>US-202</t>
  </si>
  <si>
    <t>SHAP Top Contributors</t>
  </si>
  <si>
    <t>US-203</t>
  </si>
  <si>
    <t>Full 6-Scheme Policy Corpus</t>
  </si>
  <si>
    <t>US-204</t>
  </si>
  <si>
    <t>Multi-Scheme RAG + Source IDs</t>
  </si>
  <si>
    <t>US-205</t>
  </si>
  <si>
    <t>Retrieval Quality Monitoring</t>
  </si>
  <si>
    <t>EPIC-13</t>
  </si>
  <si>
    <t>US-206</t>
  </si>
  <si>
    <t>Multi-Scheme Policy Evaluator</t>
  </si>
  <si>
    <t>EPIC-04</t>
  </si>
  <si>
    <t>US-207</t>
  </si>
  <si>
    <t>Policy Versioning &amp; Re-Index</t>
  </si>
  <si>
    <t>US-208</t>
  </si>
  <si>
    <t>Grounded Explanation Generation</t>
  </si>
  <si>
    <t>EPIC-09</t>
  </si>
  <si>
    <t>US-209</t>
  </si>
  <si>
    <t>PII Redaction Layer</t>
  </si>
  <si>
    <t>US-301</t>
  </si>
  <si>
    <t>Document Upload &amp; Storage</t>
  </si>
  <si>
    <t>EPIC-05</t>
  </si>
  <si>
    <t>US-302</t>
  </si>
  <si>
    <t>Doc Completeness/Consistency</t>
  </si>
  <si>
    <t>US-303</t>
  </si>
  <si>
    <t>Regulatory Mock + Retry/Escalation</t>
  </si>
  <si>
    <t>US-304</t>
  </si>
  <si>
    <t>Fairness Audit + Hard Block</t>
  </si>
  <si>
    <t>EPIC-07</t>
  </si>
  <si>
    <t>US-305</t>
  </si>
  <si>
    <t>Proxy Leakage Assessment</t>
  </si>
  <si>
    <t>US-306</t>
  </si>
  <si>
    <t>Full HITL Escalation</t>
  </si>
  <si>
    <t>EPIC-11</t>
  </si>
  <si>
    <t>US-307</t>
  </si>
  <si>
    <t>Complete Evidence Chain</t>
  </si>
  <si>
    <t>US-308</t>
  </si>
  <si>
    <t>Override Capture</t>
  </si>
  <si>
    <t>US-309</t>
  </si>
  <si>
    <t>Evidence Panel UI</t>
  </si>
  <si>
    <t>US-401</t>
  </si>
  <si>
    <t>Immutable Audit</t>
  </si>
  <si>
    <t>US-402</t>
  </si>
  <si>
    <t>Cost Metering + Cutoff</t>
  </si>
  <si>
    <t>US-403</t>
  </si>
  <si>
    <t>Load Test &amp; P95 Cert</t>
  </si>
  <si>
    <t>US-404</t>
  </si>
  <si>
    <t>Hallucination Eval Harness</t>
  </si>
  <si>
    <t>US-405</t>
  </si>
  <si>
    <t>Kill-Switch &amp; Degraded Mode</t>
  </si>
  <si>
    <t>US-406</t>
  </si>
  <si>
    <t>Secrets &amp; Least-Privilege</t>
  </si>
  <si>
    <t>US-407</t>
  </si>
  <si>
    <t>Ops Dashboard</t>
  </si>
  <si>
    <t>US-408</t>
  </si>
  <si>
    <t>Underwriter Pilot</t>
  </si>
  <si>
    <t>US-409</t>
  </si>
  <si>
    <t>Final AC Verification</t>
  </si>
  <si>
    <t>US-410</t>
  </si>
  <si>
    <t>Release Runbook</t>
  </si>
  <si>
    <t>How to use this dashboard</t>
  </si>
  <si>
    <t>Update every day:</t>
  </si>
  <si>
    <t xml:space="preserve">  1. Open the "Daily Log" sheet and add a new row at the bottom — fill date, sprint, planned %, actual %, tasks done today, hours, blockers raised, owner, notes.</t>
  </si>
  <si>
    <t xml:space="preserve">  2. Open "Blockers" and add any new blocker with severity, owner, workarounds tried, and status. Update existing blockers if status changes.</t>
  </si>
  <si>
    <t xml:space="preserve">  3. Open "Pending Tasks" — update % Complete and Status for tasks you touched today. Add new tasks as needed.</t>
  </si>
  <si>
    <t xml:space="preserve">  4. Open "High Priority" — add any items that need today’s attention (decisions to make, deliverables due, risks materialising).</t>
  </si>
  <si>
    <t xml:space="preserve">  5. (End of sprint) Open "Sprint Tracker" and update Done pts and # Done. The Dashboard KPIs and chart update automatically.</t>
  </si>
  <si>
    <t>The "Dashboard" sheet pulls live KPIs and the latest Daily Log entry — no manual edits needed there.</t>
  </si>
  <si>
    <t>Color key:</t>
  </si>
  <si>
    <t xml:space="preserve">  Green   = Done / On Track</t>
  </si>
  <si>
    <t xml:space="preserve">  Yellow  = In Progress</t>
  </si>
  <si>
    <t xml:space="preserve">  Red     = Open blocker / Blocked / Overdue / At Risk</t>
  </si>
  <si>
    <t xml:space="preserve">  Gray    = Not Started</t>
  </si>
  <si>
    <t>Dropdowns (Status, Priority, Severity, Sprint, Type) are enforced via data validation — use the dropdown arrow when you click the cell.</t>
  </si>
  <si>
    <t>Tabs:</t>
  </si>
  <si>
    <t xml:space="preserve">  • Dashboard       — summary view (read-only-ish)</t>
  </si>
  <si>
    <t xml:space="preserve">  • Daily Log       — add one row per day</t>
  </si>
  <si>
    <t xml:space="preserve">  • Blockers        — register of issues</t>
  </si>
  <si>
    <t xml:space="preserve">  • Pending Tasks   — active tasks across all sprints</t>
  </si>
  <si>
    <t xml:space="preserve">  • High Priority   — today’s focus items</t>
  </si>
  <si>
    <t xml:space="preserve">  • Sprint Tracker  — per-sprint roll-up</t>
  </si>
  <si>
    <t xml:space="preserve">  • Backlog         — reference list of all 54 user stories</t>
  </si>
  <si>
    <t>Abe</t>
  </si>
  <si>
    <t>Yash, Het</t>
  </si>
  <si>
    <t>Abe, Yash, Het</t>
  </si>
  <si>
    <t>Het</t>
  </si>
  <si>
    <t>Yash, Abe, 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</si>
</sst>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8"/>
      <color rgb="FF1F3A5F"/>
      <name val="Calibri"/>
      <family val="2"/>
    </font>
    <font>
      <i/>
      <sz val="11"/>
      <color rgb="FF555555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6"/>
      <color rgb="FF1F3A5F"/>
      <name val="Calibri"/>
      <family val="2"/>
    </font>
    <font>
      <b/>
      <sz val="11"/>
      <color rgb="FFFFFFFF"/>
      <name val="Calibri"/>
      <family val="2"/>
    </font>
    <font>
      <b/>
      <sz val="12"/>
      <color rgb="FF1F3A5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2E7D9A"/>
      </patternFill>
    </fill>
    <fill>
      <patternFill patternType="solid">
        <fgColor rgb="FF1F3A5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vertical="center" wrapText="1"/>
    </xf>
    <xf numFmtId="0" fontId="3" fillId="2" borderId="0" xfId="0" applyFont="1" applyFill="1"/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37"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A6A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A6A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A6A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Sprint completion %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Dashboard!$E$15</c:f>
              <c:strCache>
                <c:ptCount val="1"/>
                <c:pt idx="0">
                  <c:v>% 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Dashboard!$A$16:$A$20</c:f>
              <c:strCache>
                <c:ptCount val="5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Dashboard!$E$16:$E$20</c:f>
              <c:numCache>
                <c:formatCode>0%</c:formatCode>
                <c:ptCount val="5"/>
                <c:pt idx="0">
                  <c:v>0.48529411764705882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4-7F4A-8888-4A2A4FDFB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% complete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Sprint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workbookViewId="0">
      <selection activeCell="D19" sqref="D19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4" width="14" customWidth="1"/>
    <col min="5" max="5" width="36" customWidth="1"/>
    <col min="6" max="6" width="18" customWidth="1"/>
    <col min="7" max="8" width="14" customWidth="1"/>
  </cols>
  <sheetData>
    <row r="1" spans="1:8" ht="24" x14ac:dyDescent="0.3">
      <c r="A1" s="20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5" t="s">
        <v>1</v>
      </c>
      <c r="B2" s="13"/>
      <c r="C2" s="13"/>
      <c r="D2" s="13"/>
      <c r="E2" s="13"/>
      <c r="F2" s="13"/>
      <c r="G2" s="13"/>
      <c r="H2" s="13"/>
    </row>
    <row r="3" spans="1:8" x14ac:dyDescent="0.2">
      <c r="A3" s="15" t="s">
        <v>2</v>
      </c>
      <c r="B3" s="13"/>
      <c r="C3" s="13"/>
      <c r="D3" s="13"/>
      <c r="E3" s="13"/>
      <c r="F3" s="13"/>
      <c r="G3" s="13"/>
      <c r="H3" s="13"/>
    </row>
    <row r="5" spans="1:8" x14ac:dyDescent="0.2">
      <c r="A5" s="18" t="s">
        <v>3</v>
      </c>
      <c r="B5" s="13"/>
      <c r="C5" s="13"/>
      <c r="D5" s="13"/>
      <c r="E5" s="13"/>
      <c r="F5" s="13"/>
      <c r="G5" s="13"/>
      <c r="H5" s="13"/>
    </row>
    <row r="7" spans="1:8" x14ac:dyDescent="0.2">
      <c r="A7" s="19" t="s">
        <v>4</v>
      </c>
      <c r="B7" s="17"/>
      <c r="C7" s="19" t="s">
        <v>5</v>
      </c>
      <c r="D7" s="17"/>
      <c r="E7" s="19" t="s">
        <v>6</v>
      </c>
      <c r="F7" s="17"/>
      <c r="G7" s="19" t="s">
        <v>7</v>
      </c>
      <c r="H7" s="17"/>
    </row>
    <row r="8" spans="1:8" ht="32" customHeight="1" x14ac:dyDescent="0.2">
      <c r="A8" s="16" t="s">
        <v>8</v>
      </c>
      <c r="B8" s="17"/>
      <c r="C8" s="16" t="str">
        <f>ROUND('Sprint Tracker'!E3*100,0)&amp;"%"</f>
        <v>0%</v>
      </c>
      <c r="D8" s="17"/>
      <c r="E8" s="16">
        <f>COUNTA(Backlog!A4:A57)</f>
        <v>54</v>
      </c>
      <c r="F8" s="17"/>
      <c r="G8" s="16">
        <f>COUNTIF(Backlog!H4:H57,"Done")</f>
        <v>2</v>
      </c>
      <c r="H8" s="17"/>
    </row>
    <row r="10" spans="1:8" x14ac:dyDescent="0.2">
      <c r="A10" s="19" t="s">
        <v>9</v>
      </c>
      <c r="B10" s="17"/>
      <c r="C10" s="19" t="s">
        <v>10</v>
      </c>
      <c r="D10" s="17"/>
      <c r="E10" s="19" t="s">
        <v>11</v>
      </c>
      <c r="F10" s="17"/>
      <c r="G10" s="19" t="s">
        <v>12</v>
      </c>
      <c r="H10" s="17"/>
    </row>
    <row r="11" spans="1:8" ht="32" customHeight="1" x14ac:dyDescent="0.2">
      <c r="A11" s="16">
        <f>COUNTIF(Blockers!G4:G50,"Open")+COUNTIF(Blockers!G4:G50,"In Progress")</f>
        <v>1</v>
      </c>
      <c r="B11" s="17"/>
      <c r="C11" s="16">
        <f>COUNTIF('Pending Tasks'!H4:H100,"Not Started")+COUNTIF('Pending Tasks'!H4:H100,"In Progress")</f>
        <v>8</v>
      </c>
      <c r="D11" s="17"/>
      <c r="E11" s="16">
        <f>COUNTIF('High Priority'!E4:E50,"&lt;&gt;Closed")-COUNTBLANK('High Priority'!E4:E50)</f>
        <v>3</v>
      </c>
      <c r="F11" s="17"/>
      <c r="G11" s="16">
        <f ca="1">TODAY()-DATE(2026,6,22)</f>
        <v>0</v>
      </c>
      <c r="H11" s="17"/>
    </row>
    <row r="14" spans="1:8" x14ac:dyDescent="0.2">
      <c r="A14" s="12" t="s">
        <v>13</v>
      </c>
      <c r="B14" s="13"/>
      <c r="C14" s="13"/>
      <c r="D14" s="13"/>
      <c r="E14" s="13"/>
      <c r="F14" s="13"/>
      <c r="G14" s="13"/>
      <c r="H14" s="13"/>
    </row>
    <row r="15" spans="1:8" ht="16" x14ac:dyDescent="0.2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</row>
    <row r="16" spans="1:8" ht="16" x14ac:dyDescent="0.2">
      <c r="A16" s="2" t="s">
        <v>8</v>
      </c>
      <c r="B16" s="14" t="s">
        <v>20</v>
      </c>
      <c r="C16" s="4">
        <v>34</v>
      </c>
      <c r="D16" s="4">
        <v>16.5</v>
      </c>
      <c r="E16" s="5">
        <f>D16/C16</f>
        <v>0.48529411764705882</v>
      </c>
      <c r="F16" s="4" t="str">
        <f>IF(E16=1,"Done",IF(E16&gt;=0.7,"On Track",IF(E16&gt;=0.3,"In Progress",IF(E16&gt;0,"At Risk","Not Started"))))</f>
        <v>In Progress</v>
      </c>
    </row>
    <row r="17" spans="1:6" ht="16" x14ac:dyDescent="0.2">
      <c r="A17" s="2" t="s">
        <v>21</v>
      </c>
      <c r="B17" s="3" t="s">
        <v>22</v>
      </c>
      <c r="C17" s="4">
        <v>39</v>
      </c>
      <c r="D17" s="4">
        <v>0</v>
      </c>
      <c r="E17" s="5">
        <f>D17/C17</f>
        <v>0</v>
      </c>
      <c r="F17" s="4" t="str">
        <f>IF(E17=1,"Done",IF(E17&gt;=0.7,"On Track",IF(E17&gt;=0.3,"In Progress",IF(E17&gt;0,"At Risk","Not Started"))))</f>
        <v>Not Started</v>
      </c>
    </row>
    <row r="18" spans="1:6" ht="16" x14ac:dyDescent="0.2">
      <c r="A18" s="2" t="s">
        <v>23</v>
      </c>
      <c r="B18" s="3" t="s">
        <v>24</v>
      </c>
      <c r="C18" s="4">
        <v>47</v>
      </c>
      <c r="D18" s="4">
        <v>0</v>
      </c>
      <c r="E18" s="5">
        <f>D18/C18</f>
        <v>0</v>
      </c>
      <c r="F18" s="4" t="str">
        <f>IF(E18=1,"Done",IF(E18&gt;=0.7,"On Track",IF(E18&gt;=0.3,"In Progress",IF(E18&gt;0,"At Risk","Not Started"))))</f>
        <v>Not Started</v>
      </c>
    </row>
    <row r="19" spans="1:6" ht="16" x14ac:dyDescent="0.2">
      <c r="A19" s="2" t="s">
        <v>25</v>
      </c>
      <c r="B19" s="3" t="s">
        <v>26</v>
      </c>
      <c r="C19" s="4">
        <v>47</v>
      </c>
      <c r="D19" s="4">
        <v>0</v>
      </c>
      <c r="E19" s="5">
        <f>D19/C19</f>
        <v>0</v>
      </c>
      <c r="F19" s="4" t="str">
        <f>IF(E19=1,"Done",IF(E19&gt;=0.7,"On Track",IF(E19&gt;=0.3,"In Progress",IF(E19&gt;0,"At Risk","Not Started"))))</f>
        <v>Not Started</v>
      </c>
    </row>
    <row r="20" spans="1:6" ht="16" x14ac:dyDescent="0.2">
      <c r="A20" s="2" t="s">
        <v>27</v>
      </c>
      <c r="B20" s="3" t="s">
        <v>28</v>
      </c>
      <c r="C20" s="4">
        <v>50</v>
      </c>
      <c r="D20" s="4">
        <v>0</v>
      </c>
      <c r="E20" s="5">
        <f>D20/C20</f>
        <v>0</v>
      </c>
      <c r="F20" s="4" t="str">
        <f>IF(E20=1,"Done",IF(E20&gt;=0.7,"On Track",IF(E20&gt;=0.3,"In Progress",IF(E20&gt;0,"At Risk","Not Started"))))</f>
        <v>Not Started</v>
      </c>
    </row>
    <row r="40" spans="1:8" x14ac:dyDescent="0.2">
      <c r="A40" s="12" t="s">
        <v>29</v>
      </c>
      <c r="B40" s="13"/>
      <c r="C40" s="13"/>
      <c r="D40" s="13"/>
      <c r="E40" s="13"/>
      <c r="F40" s="13"/>
      <c r="G40" s="13"/>
      <c r="H40" s="13"/>
    </row>
    <row r="41" spans="1:8" ht="16" x14ac:dyDescent="0.2">
      <c r="A41" s="1" t="s">
        <v>30</v>
      </c>
      <c r="B41" s="1" t="s">
        <v>14</v>
      </c>
      <c r="C41" s="1" t="s">
        <v>31</v>
      </c>
      <c r="D41" s="1" t="s">
        <v>32</v>
      </c>
      <c r="E41" s="1" t="s">
        <v>33</v>
      </c>
      <c r="F41" s="1" t="s">
        <v>34</v>
      </c>
      <c r="G41" s="1" t="s">
        <v>35</v>
      </c>
    </row>
    <row r="42" spans="1:8" ht="50" customHeight="1" x14ac:dyDescent="0.2">
      <c r="A42" s="6">
        <f>IFERROR(INDEX('Daily Log'!A:A,MATCH(MAX('Daily Log'!A:A),'Daily Log'!A:A,0)),"—")</f>
        <v>46195</v>
      </c>
      <c r="B42" s="3" t="str">
        <f>IFERROR(INDEX('Daily Log'!B:B,MATCH(MAX('Daily Log'!A:A),'Daily Log'!A:A,0)),"—")</f>
        <v>Sprint 0</v>
      </c>
      <c r="C42" s="3" t="str">
        <f>IFERROR(INDEX('Daily Log'!C:C,MATCH(MAX('Daily Log'!A:A),'Daily Log'!A:A,0)),"—")</f>
        <v>40%</v>
      </c>
      <c r="D42" s="3" t="str">
        <f>IFERROR(INDEX('Daily Log'!D:D,MATCH(MAX('Daily Log'!A:A),'Daily Log'!A:A,0)),"—")</f>
        <v>48%</v>
      </c>
      <c r="E42" s="3" t="str">
        <f>IFERROR(INDEX('Daily Log'!E:E,MATCH(MAX('Daily Log'!A:A),'Daily Log'!A:A,0)),"—")</f>
        <v>PRD v2.0 finalised; full Agile backlog authored (15 epics, 54 stories, 217 pts); Sprint 0–4 plan; repo initialised; A-8b drafted</v>
      </c>
      <c r="F42" s="3">
        <f>COUNTIF(Blockers!G:G,"Open")+COUNTIF(Blockers!G:G,"In Progress")</f>
        <v>3</v>
      </c>
      <c r="G42" s="3" t="str">
        <f>IFERROR(INDEX('Daily Log'!H:H,MATCH(MAX('Daily Log'!A:A),'Daily Log'!A:A,0)),"—")</f>
        <v>Yash, Abe, Het</v>
      </c>
    </row>
  </sheetData>
  <mergeCells count="23">
    <mergeCell ref="A1:H1"/>
    <mergeCell ref="G8:H8"/>
    <mergeCell ref="E8:F8"/>
    <mergeCell ref="C10:D10"/>
    <mergeCell ref="A7:B7"/>
    <mergeCell ref="G7:H7"/>
    <mergeCell ref="E10:F10"/>
    <mergeCell ref="G10:H10"/>
    <mergeCell ref="A40:H40"/>
    <mergeCell ref="B16"/>
    <mergeCell ref="A3:H3"/>
    <mergeCell ref="C11:D11"/>
    <mergeCell ref="A2:H2"/>
    <mergeCell ref="E11:F11"/>
    <mergeCell ref="A14:H14"/>
    <mergeCell ref="A5:H5"/>
    <mergeCell ref="A8:B8"/>
    <mergeCell ref="C8:D8"/>
    <mergeCell ref="C7:D7"/>
    <mergeCell ref="E7:F7"/>
    <mergeCell ref="A10:B10"/>
    <mergeCell ref="A11:B11"/>
    <mergeCell ref="G11:H11"/>
  </mergeCells>
  <conditionalFormatting sqref="F16:F20">
    <cfRule type="expression" dxfId="36" priority="1">
      <formula>$F16="Done"</formula>
    </cfRule>
    <cfRule type="expression" dxfId="35" priority="2">
      <formula>$F16="On Track"</formula>
    </cfRule>
    <cfRule type="expression" dxfId="34" priority="3">
      <formula>$F16="In Progress"</formula>
    </cfRule>
    <cfRule type="expression" dxfId="33" priority="4">
      <formula>$F16="At Risk"</formula>
    </cfRule>
    <cfRule type="expression" dxfId="32" priority="5">
      <formula>$F16="Not Started"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9"/>
  <sheetViews>
    <sheetView workbookViewId="0">
      <pane ySplit="1" topLeftCell="A2" activePane="bottomLeft" state="frozen"/>
      <selection pane="bottomLeft" activeCell="I16" sqref="I16"/>
    </sheetView>
  </sheetViews>
  <sheetFormatPr baseColWidth="10" defaultColWidth="8.83203125" defaultRowHeight="15" x14ac:dyDescent="0.2"/>
  <cols>
    <col min="1" max="1" width="12" customWidth="1"/>
    <col min="2" max="4" width="11" customWidth="1"/>
    <col min="5" max="5" width="50" customWidth="1"/>
    <col min="6" max="6" width="11" customWidth="1"/>
    <col min="7" max="7" width="25" customWidth="1"/>
    <col min="8" max="8" width="14" customWidth="1"/>
    <col min="9" max="9" width="30" customWidth="1"/>
  </cols>
  <sheetData>
    <row r="1" spans="1:9" ht="28" customHeight="1" x14ac:dyDescent="0.2">
      <c r="A1" s="1" t="s">
        <v>30</v>
      </c>
      <c r="B1" s="1" t="s">
        <v>14</v>
      </c>
      <c r="C1" s="1" t="s">
        <v>31</v>
      </c>
      <c r="D1" s="1" t="s">
        <v>32</v>
      </c>
      <c r="E1" s="1" t="s">
        <v>36</v>
      </c>
      <c r="F1" s="1" t="s">
        <v>37</v>
      </c>
      <c r="G1" s="1" t="s">
        <v>38</v>
      </c>
      <c r="H1" s="1" t="s">
        <v>35</v>
      </c>
      <c r="I1" s="1" t="s">
        <v>39</v>
      </c>
    </row>
    <row r="2" spans="1:9" ht="60" customHeight="1" x14ac:dyDescent="0.2">
      <c r="A2" s="7">
        <v>46195</v>
      </c>
      <c r="B2" s="4" t="s">
        <v>8</v>
      </c>
      <c r="C2" s="4" t="s">
        <v>40</v>
      </c>
      <c r="D2" s="4" t="s">
        <v>41</v>
      </c>
      <c r="E2" s="8" t="s">
        <v>42</v>
      </c>
      <c r="F2" s="4">
        <v>8</v>
      </c>
      <c r="G2" s="8" t="s">
        <v>43</v>
      </c>
      <c r="H2" s="4" t="s">
        <v>274</v>
      </c>
      <c r="I2" s="8" t="s">
        <v>45</v>
      </c>
    </row>
    <row r="3" spans="1:9" x14ac:dyDescent="0.2">
      <c r="A3" s="9"/>
    </row>
    <row r="4" spans="1:9" x14ac:dyDescent="0.2">
      <c r="A4" s="9"/>
    </row>
    <row r="5" spans="1:9" x14ac:dyDescent="0.2">
      <c r="A5" s="9"/>
    </row>
    <row r="6" spans="1:9" x14ac:dyDescent="0.2">
      <c r="A6" s="9"/>
    </row>
    <row r="7" spans="1:9" x14ac:dyDescent="0.2">
      <c r="A7" s="9"/>
    </row>
    <row r="8" spans="1:9" x14ac:dyDescent="0.2">
      <c r="A8" s="9"/>
    </row>
    <row r="9" spans="1:9" x14ac:dyDescent="0.2">
      <c r="A9" s="9"/>
    </row>
    <row r="10" spans="1:9" x14ac:dyDescent="0.2">
      <c r="A10" s="9"/>
    </row>
    <row r="11" spans="1:9" x14ac:dyDescent="0.2">
      <c r="A11" s="9"/>
    </row>
    <row r="12" spans="1:9" x14ac:dyDescent="0.2">
      <c r="A12" s="9"/>
    </row>
    <row r="13" spans="1:9" x14ac:dyDescent="0.2">
      <c r="A13" s="9"/>
    </row>
    <row r="14" spans="1:9" x14ac:dyDescent="0.2">
      <c r="A14" s="9"/>
    </row>
    <row r="15" spans="1:9" x14ac:dyDescent="0.2">
      <c r="A15" s="9"/>
    </row>
    <row r="16" spans="1:9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  <row r="24" spans="1:1" x14ac:dyDescent="0.2">
      <c r="A24" s="9"/>
    </row>
    <row r="25" spans="1:1" x14ac:dyDescent="0.2">
      <c r="A25" s="9"/>
    </row>
    <row r="26" spans="1:1" x14ac:dyDescent="0.2">
      <c r="A26" s="9"/>
    </row>
    <row r="27" spans="1:1" x14ac:dyDescent="0.2">
      <c r="A27" s="9"/>
    </row>
    <row r="28" spans="1:1" x14ac:dyDescent="0.2">
      <c r="A28" s="9"/>
    </row>
    <row r="29" spans="1:1" x14ac:dyDescent="0.2">
      <c r="A29" s="9"/>
    </row>
    <row r="30" spans="1:1" x14ac:dyDescent="0.2">
      <c r="A30" s="9"/>
    </row>
    <row r="31" spans="1:1" x14ac:dyDescent="0.2">
      <c r="A31" s="9"/>
    </row>
    <row r="32" spans="1:1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40" customWidth="1"/>
    <col min="4" max="4" width="11" customWidth="1"/>
    <col min="5" max="5" width="14" customWidth="1"/>
    <col min="6" max="6" width="40" customWidth="1"/>
    <col min="7" max="7" width="13" customWidth="1"/>
    <col min="8" max="8" width="35" customWidth="1"/>
    <col min="9" max="9" width="13" customWidth="1"/>
  </cols>
  <sheetData>
    <row r="1" spans="1:9" ht="28" customHeight="1" x14ac:dyDescent="0.2">
      <c r="A1" s="1" t="s">
        <v>46</v>
      </c>
      <c r="B1" s="1" t="s">
        <v>47</v>
      </c>
      <c r="C1" s="1" t="s">
        <v>48</v>
      </c>
      <c r="D1" s="1" t="s">
        <v>49</v>
      </c>
      <c r="E1" s="1" t="s">
        <v>35</v>
      </c>
      <c r="F1" s="1" t="s">
        <v>50</v>
      </c>
      <c r="G1" s="1" t="s">
        <v>19</v>
      </c>
      <c r="H1" s="1" t="s">
        <v>51</v>
      </c>
      <c r="I1" s="1" t="s">
        <v>52</v>
      </c>
    </row>
    <row r="2" spans="1:9" ht="50" customHeight="1" x14ac:dyDescent="0.2">
      <c r="A2" s="4" t="s">
        <v>53</v>
      </c>
      <c r="B2" s="7">
        <v>46195</v>
      </c>
      <c r="C2" s="8" t="s">
        <v>54</v>
      </c>
      <c r="D2" s="4" t="s">
        <v>55</v>
      </c>
      <c r="E2" s="4" t="s">
        <v>44</v>
      </c>
      <c r="F2" s="8" t="s">
        <v>56</v>
      </c>
      <c r="G2" s="4" t="s">
        <v>57</v>
      </c>
      <c r="H2" s="8" t="s">
        <v>58</v>
      </c>
      <c r="I2" s="7"/>
    </row>
    <row r="3" spans="1:9" ht="50" customHeight="1" x14ac:dyDescent="0.2">
      <c r="A3" s="4" t="s">
        <v>59</v>
      </c>
      <c r="B3" s="7">
        <v>46195</v>
      </c>
      <c r="C3" s="8" t="s">
        <v>60</v>
      </c>
      <c r="D3" s="4" t="s">
        <v>55</v>
      </c>
      <c r="E3" s="4" t="s">
        <v>44</v>
      </c>
      <c r="F3" s="8" t="s">
        <v>61</v>
      </c>
      <c r="G3" s="4" t="s">
        <v>62</v>
      </c>
      <c r="H3" s="8" t="s">
        <v>63</v>
      </c>
      <c r="I3" s="7"/>
    </row>
    <row r="4" spans="1:9" ht="50" customHeight="1" x14ac:dyDescent="0.2">
      <c r="A4" s="4" t="s">
        <v>64</v>
      </c>
      <c r="B4" s="7">
        <v>46195</v>
      </c>
      <c r="C4" s="8" t="s">
        <v>65</v>
      </c>
      <c r="D4" s="4" t="s">
        <v>66</v>
      </c>
      <c r="E4" s="4" t="s">
        <v>67</v>
      </c>
      <c r="F4" s="8" t="s">
        <v>68</v>
      </c>
      <c r="G4" s="4" t="s">
        <v>57</v>
      </c>
      <c r="H4" s="8" t="s">
        <v>69</v>
      </c>
      <c r="I4" s="7"/>
    </row>
    <row r="5" spans="1:9" x14ac:dyDescent="0.2">
      <c r="B5" s="9"/>
      <c r="I5" s="9"/>
    </row>
    <row r="6" spans="1:9" x14ac:dyDescent="0.2">
      <c r="B6" s="9"/>
      <c r="I6" s="9"/>
    </row>
    <row r="7" spans="1:9" x14ac:dyDescent="0.2">
      <c r="B7" s="9"/>
      <c r="I7" s="9"/>
    </row>
    <row r="8" spans="1:9" x14ac:dyDescent="0.2">
      <c r="B8" s="9"/>
      <c r="I8" s="9"/>
    </row>
    <row r="9" spans="1:9" x14ac:dyDescent="0.2">
      <c r="B9" s="9"/>
      <c r="I9" s="9"/>
    </row>
    <row r="10" spans="1:9" x14ac:dyDescent="0.2">
      <c r="B10" s="9"/>
      <c r="I10" s="9"/>
    </row>
    <row r="11" spans="1:9" x14ac:dyDescent="0.2">
      <c r="B11" s="9"/>
      <c r="I11" s="9"/>
    </row>
    <row r="12" spans="1:9" x14ac:dyDescent="0.2">
      <c r="B12" s="9"/>
      <c r="I12" s="9"/>
    </row>
    <row r="13" spans="1:9" x14ac:dyDescent="0.2">
      <c r="B13" s="9"/>
      <c r="I13" s="9"/>
    </row>
    <row r="14" spans="1:9" x14ac:dyDescent="0.2">
      <c r="B14" s="9"/>
      <c r="I14" s="9"/>
    </row>
    <row r="15" spans="1:9" x14ac:dyDescent="0.2">
      <c r="B15" s="9"/>
      <c r="I15" s="9"/>
    </row>
    <row r="16" spans="1:9" x14ac:dyDescent="0.2">
      <c r="B16" s="9"/>
      <c r="I16" s="9"/>
    </row>
    <row r="17" spans="2:9" x14ac:dyDescent="0.2">
      <c r="B17" s="9"/>
      <c r="I17" s="9"/>
    </row>
    <row r="18" spans="2:9" x14ac:dyDescent="0.2">
      <c r="B18" s="9"/>
      <c r="I18" s="9"/>
    </row>
    <row r="19" spans="2:9" x14ac:dyDescent="0.2">
      <c r="B19" s="9"/>
      <c r="I19" s="9"/>
    </row>
    <row r="20" spans="2:9" x14ac:dyDescent="0.2">
      <c r="B20" s="9"/>
      <c r="I20" s="9"/>
    </row>
    <row r="21" spans="2:9" x14ac:dyDescent="0.2">
      <c r="B21" s="9"/>
      <c r="I21" s="9"/>
    </row>
    <row r="22" spans="2:9" x14ac:dyDescent="0.2">
      <c r="B22" s="9"/>
      <c r="I22" s="9"/>
    </row>
    <row r="23" spans="2:9" x14ac:dyDescent="0.2">
      <c r="B23" s="9"/>
      <c r="I23" s="9"/>
    </row>
    <row r="24" spans="2:9" x14ac:dyDescent="0.2">
      <c r="B24" s="9"/>
      <c r="I24" s="9"/>
    </row>
    <row r="25" spans="2:9" x14ac:dyDescent="0.2">
      <c r="B25" s="9"/>
      <c r="I25" s="9"/>
    </row>
    <row r="26" spans="2:9" x14ac:dyDescent="0.2">
      <c r="B26" s="9"/>
      <c r="I26" s="9"/>
    </row>
    <row r="27" spans="2:9" x14ac:dyDescent="0.2">
      <c r="B27" s="9"/>
      <c r="I27" s="9"/>
    </row>
    <row r="28" spans="2:9" x14ac:dyDescent="0.2">
      <c r="B28" s="9"/>
      <c r="I28" s="9"/>
    </row>
    <row r="29" spans="2:9" x14ac:dyDescent="0.2">
      <c r="B29" s="9"/>
      <c r="I29" s="9"/>
    </row>
    <row r="30" spans="2:9" x14ac:dyDescent="0.2">
      <c r="B30" s="9"/>
      <c r="I30" s="9"/>
    </row>
    <row r="31" spans="2:9" x14ac:dyDescent="0.2">
      <c r="B31" s="9"/>
      <c r="I31" s="9"/>
    </row>
    <row r="32" spans="2:9" x14ac:dyDescent="0.2">
      <c r="B32" s="9"/>
      <c r="I32" s="9"/>
    </row>
    <row r="33" spans="2:9" x14ac:dyDescent="0.2">
      <c r="B33" s="9"/>
      <c r="I33" s="9"/>
    </row>
    <row r="34" spans="2:9" x14ac:dyDescent="0.2">
      <c r="B34" s="9"/>
      <c r="I34" s="9"/>
    </row>
    <row r="35" spans="2:9" x14ac:dyDescent="0.2">
      <c r="B35" s="9"/>
      <c r="I35" s="9"/>
    </row>
    <row r="36" spans="2:9" x14ac:dyDescent="0.2">
      <c r="B36" s="9"/>
      <c r="I36" s="9"/>
    </row>
    <row r="37" spans="2:9" x14ac:dyDescent="0.2">
      <c r="B37" s="9"/>
      <c r="I37" s="9"/>
    </row>
    <row r="38" spans="2:9" x14ac:dyDescent="0.2">
      <c r="B38" s="9"/>
      <c r="I38" s="9"/>
    </row>
    <row r="39" spans="2:9" x14ac:dyDescent="0.2">
      <c r="B39" s="9"/>
      <c r="I39" s="9"/>
    </row>
    <row r="40" spans="2:9" x14ac:dyDescent="0.2">
      <c r="B40" s="9"/>
      <c r="I40" s="9"/>
    </row>
    <row r="41" spans="2:9" x14ac:dyDescent="0.2">
      <c r="B41" s="9"/>
      <c r="I41" s="9"/>
    </row>
    <row r="42" spans="2:9" x14ac:dyDescent="0.2">
      <c r="B42" s="9"/>
      <c r="I42" s="9"/>
    </row>
    <row r="43" spans="2:9" x14ac:dyDescent="0.2">
      <c r="B43" s="9"/>
      <c r="I43" s="9"/>
    </row>
    <row r="44" spans="2:9" x14ac:dyDescent="0.2">
      <c r="B44" s="9"/>
      <c r="I44" s="9"/>
    </row>
    <row r="45" spans="2:9" x14ac:dyDescent="0.2">
      <c r="B45" s="9"/>
      <c r="I45" s="9"/>
    </row>
    <row r="46" spans="2:9" x14ac:dyDescent="0.2">
      <c r="B46" s="9"/>
      <c r="I46" s="9"/>
    </row>
    <row r="47" spans="2:9" x14ac:dyDescent="0.2">
      <c r="B47" s="9"/>
      <c r="I47" s="9"/>
    </row>
    <row r="48" spans="2:9" x14ac:dyDescent="0.2">
      <c r="B48" s="9"/>
      <c r="I48" s="9"/>
    </row>
    <row r="49" spans="2:9" x14ac:dyDescent="0.2">
      <c r="B49" s="9"/>
      <c r="I49" s="9"/>
    </row>
    <row r="50" spans="2:9" x14ac:dyDescent="0.2">
      <c r="B50" s="9"/>
      <c r="I50" s="9"/>
    </row>
    <row r="51" spans="2:9" x14ac:dyDescent="0.2">
      <c r="B51" s="9"/>
      <c r="I51" s="9"/>
    </row>
    <row r="52" spans="2:9" x14ac:dyDescent="0.2">
      <c r="B52" s="9"/>
      <c r="I52" s="9"/>
    </row>
    <row r="53" spans="2:9" x14ac:dyDescent="0.2">
      <c r="B53" s="9"/>
      <c r="I53" s="9"/>
    </row>
    <row r="54" spans="2:9" x14ac:dyDescent="0.2">
      <c r="B54" s="9"/>
      <c r="I54" s="9"/>
    </row>
    <row r="55" spans="2:9" x14ac:dyDescent="0.2">
      <c r="B55" s="9"/>
      <c r="I55" s="9"/>
    </row>
    <row r="56" spans="2:9" x14ac:dyDescent="0.2">
      <c r="B56" s="9"/>
      <c r="I56" s="9"/>
    </row>
    <row r="57" spans="2:9" x14ac:dyDescent="0.2">
      <c r="B57" s="9"/>
      <c r="I57" s="9"/>
    </row>
    <row r="58" spans="2:9" x14ac:dyDescent="0.2">
      <c r="B58" s="9"/>
      <c r="I58" s="9"/>
    </row>
    <row r="59" spans="2:9" x14ac:dyDescent="0.2">
      <c r="B59" s="9"/>
      <c r="I59" s="9"/>
    </row>
    <row r="60" spans="2:9" x14ac:dyDescent="0.2">
      <c r="B60" s="9"/>
      <c r="I60" s="9"/>
    </row>
    <row r="61" spans="2:9" x14ac:dyDescent="0.2">
      <c r="B61" s="9"/>
      <c r="I61" s="9"/>
    </row>
    <row r="62" spans="2:9" x14ac:dyDescent="0.2">
      <c r="B62" s="9"/>
      <c r="I62" s="9"/>
    </row>
    <row r="63" spans="2:9" x14ac:dyDescent="0.2">
      <c r="B63" s="9"/>
      <c r="I63" s="9"/>
    </row>
    <row r="64" spans="2:9" x14ac:dyDescent="0.2">
      <c r="B64" s="9"/>
      <c r="I64" s="9"/>
    </row>
    <row r="65" spans="2:9" x14ac:dyDescent="0.2">
      <c r="B65" s="9"/>
      <c r="I65" s="9"/>
    </row>
    <row r="66" spans="2:9" x14ac:dyDescent="0.2">
      <c r="B66" s="9"/>
      <c r="I66" s="9"/>
    </row>
    <row r="67" spans="2:9" x14ac:dyDescent="0.2">
      <c r="B67" s="9"/>
      <c r="I67" s="9"/>
    </row>
    <row r="68" spans="2:9" x14ac:dyDescent="0.2">
      <c r="B68" s="9"/>
      <c r="I68" s="9"/>
    </row>
    <row r="69" spans="2:9" x14ac:dyDescent="0.2">
      <c r="B69" s="9"/>
      <c r="I69" s="9"/>
    </row>
    <row r="70" spans="2:9" x14ac:dyDescent="0.2">
      <c r="B70" s="9"/>
      <c r="I70" s="9"/>
    </row>
    <row r="71" spans="2:9" x14ac:dyDescent="0.2">
      <c r="B71" s="9"/>
      <c r="I71" s="9"/>
    </row>
    <row r="72" spans="2:9" x14ac:dyDescent="0.2">
      <c r="B72" s="9"/>
      <c r="I72" s="9"/>
    </row>
    <row r="73" spans="2:9" x14ac:dyDescent="0.2">
      <c r="B73" s="9"/>
      <c r="I73" s="9"/>
    </row>
    <row r="74" spans="2:9" x14ac:dyDescent="0.2">
      <c r="B74" s="9"/>
      <c r="I74" s="9"/>
    </row>
    <row r="75" spans="2:9" x14ac:dyDescent="0.2">
      <c r="B75" s="9"/>
      <c r="I75" s="9"/>
    </row>
    <row r="76" spans="2:9" x14ac:dyDescent="0.2">
      <c r="B76" s="9"/>
      <c r="I76" s="9"/>
    </row>
    <row r="77" spans="2:9" x14ac:dyDescent="0.2">
      <c r="B77" s="9"/>
      <c r="I77" s="9"/>
    </row>
    <row r="78" spans="2:9" x14ac:dyDescent="0.2">
      <c r="B78" s="9"/>
      <c r="I78" s="9"/>
    </row>
    <row r="79" spans="2:9" x14ac:dyDescent="0.2">
      <c r="B79" s="9"/>
      <c r="I79" s="9"/>
    </row>
    <row r="80" spans="2:9" x14ac:dyDescent="0.2">
      <c r="B80" s="9"/>
      <c r="I80" s="9"/>
    </row>
    <row r="81" spans="2:9" x14ac:dyDescent="0.2">
      <c r="B81" s="9"/>
      <c r="I81" s="9"/>
    </row>
    <row r="82" spans="2:9" x14ac:dyDescent="0.2">
      <c r="B82" s="9"/>
      <c r="I82" s="9"/>
    </row>
    <row r="83" spans="2:9" x14ac:dyDescent="0.2">
      <c r="B83" s="9"/>
      <c r="I83" s="9"/>
    </row>
    <row r="84" spans="2:9" x14ac:dyDescent="0.2">
      <c r="B84" s="9"/>
      <c r="I84" s="9"/>
    </row>
    <row r="85" spans="2:9" x14ac:dyDescent="0.2">
      <c r="B85" s="9"/>
      <c r="I85" s="9"/>
    </row>
    <row r="86" spans="2:9" x14ac:dyDescent="0.2">
      <c r="B86" s="9"/>
      <c r="I86" s="9"/>
    </row>
    <row r="87" spans="2:9" x14ac:dyDescent="0.2">
      <c r="B87" s="9"/>
      <c r="I87" s="9"/>
    </row>
    <row r="88" spans="2:9" x14ac:dyDescent="0.2">
      <c r="B88" s="9"/>
      <c r="I88" s="9"/>
    </row>
    <row r="89" spans="2:9" x14ac:dyDescent="0.2">
      <c r="B89" s="9"/>
      <c r="I89" s="9"/>
    </row>
    <row r="90" spans="2:9" x14ac:dyDescent="0.2">
      <c r="B90" s="9"/>
      <c r="I90" s="9"/>
    </row>
    <row r="91" spans="2:9" x14ac:dyDescent="0.2">
      <c r="B91" s="9"/>
      <c r="I91" s="9"/>
    </row>
    <row r="92" spans="2:9" x14ac:dyDescent="0.2">
      <c r="B92" s="9"/>
      <c r="I92" s="9"/>
    </row>
    <row r="93" spans="2:9" x14ac:dyDescent="0.2">
      <c r="B93" s="9"/>
      <c r="I93" s="9"/>
    </row>
    <row r="94" spans="2:9" x14ac:dyDescent="0.2">
      <c r="B94" s="9"/>
      <c r="I94" s="9"/>
    </row>
    <row r="95" spans="2:9" x14ac:dyDescent="0.2">
      <c r="B95" s="9"/>
      <c r="I95" s="9"/>
    </row>
    <row r="96" spans="2:9" x14ac:dyDescent="0.2">
      <c r="B96" s="9"/>
      <c r="I96" s="9"/>
    </row>
    <row r="97" spans="2:9" x14ac:dyDescent="0.2">
      <c r="B97" s="9"/>
      <c r="I97" s="9"/>
    </row>
    <row r="98" spans="2:9" x14ac:dyDescent="0.2">
      <c r="B98" s="9"/>
      <c r="I98" s="9"/>
    </row>
    <row r="99" spans="2:9" x14ac:dyDescent="0.2">
      <c r="B99" s="9"/>
      <c r="I99" s="9"/>
    </row>
  </sheetData>
  <conditionalFormatting sqref="D2:D200">
    <cfRule type="expression" dxfId="31" priority="9">
      <formula>$D2="Low"</formula>
    </cfRule>
    <cfRule type="expression" dxfId="30" priority="8">
      <formula>$D2="Medium"</formula>
    </cfRule>
    <cfRule type="expression" dxfId="29" priority="7">
      <formula>$D2="High"</formula>
    </cfRule>
    <cfRule type="expression" dxfId="28" priority="6">
      <formula>$D2="Critical"</formula>
    </cfRule>
  </conditionalFormatting>
  <conditionalFormatting sqref="G2:G200">
    <cfRule type="expression" dxfId="27" priority="1">
      <formula>$G2="Open"</formula>
    </cfRule>
    <cfRule type="expression" dxfId="26" priority="4">
      <formula>$G2="Closed"</formula>
    </cfRule>
    <cfRule type="expression" dxfId="25" priority="3">
      <formula>$G2="Resolved"</formula>
    </cfRule>
    <cfRule type="expression" dxfId="24" priority="2">
      <formula>$G2="In Progress"</formula>
    </cfRule>
    <cfRule type="expression" dxfId="23" priority="5">
      <formula>$G2="Escalated"</formula>
    </cfRule>
  </conditionalFormatting>
  <dataValidations count="2">
    <dataValidation type="list" allowBlank="1" sqref="D2:D200" xr:uid="{00000000-0002-0000-0200-000000000000}">
      <formula1>"Critical,High,Medium,Low"</formula1>
    </dataValidation>
    <dataValidation type="list" allowBlank="1" sqref="G2:G200" xr:uid="{00000000-0002-0000-0200-000001000000}">
      <formula1>"Open,In Progress,Resolved,Closed,Escalated"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9"/>
  <sheetViews>
    <sheetView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cols>
    <col min="1" max="1" width="10" customWidth="1"/>
    <col min="2" max="2" width="36" customWidth="1"/>
    <col min="3" max="4" width="10" customWidth="1"/>
    <col min="5" max="6" width="12" customWidth="1"/>
    <col min="7" max="7" width="11" customWidth="1"/>
    <col min="8" max="8" width="13" customWidth="1"/>
    <col min="9" max="9" width="11" customWidth="1"/>
    <col min="10" max="10" width="30" customWidth="1"/>
  </cols>
  <sheetData>
    <row r="1" spans="1:10" ht="28" customHeight="1" x14ac:dyDescent="0.2">
      <c r="A1" s="1" t="s">
        <v>70</v>
      </c>
      <c r="B1" s="1" t="s">
        <v>71</v>
      </c>
      <c r="C1" s="1" t="s">
        <v>14</v>
      </c>
      <c r="D1" s="1" t="s">
        <v>72</v>
      </c>
      <c r="E1" s="1" t="s">
        <v>35</v>
      </c>
      <c r="F1" s="1" t="s">
        <v>73</v>
      </c>
      <c r="G1" s="1" t="s">
        <v>18</v>
      </c>
      <c r="H1" s="1" t="s">
        <v>19</v>
      </c>
      <c r="I1" s="1" t="s">
        <v>74</v>
      </c>
      <c r="J1" s="1" t="s">
        <v>39</v>
      </c>
    </row>
    <row r="2" spans="1:10" ht="16" x14ac:dyDescent="0.2">
      <c r="A2" s="4" t="s">
        <v>75</v>
      </c>
      <c r="B2" s="8" t="s">
        <v>76</v>
      </c>
      <c r="C2" s="4" t="s">
        <v>8</v>
      </c>
      <c r="D2" s="4" t="s">
        <v>77</v>
      </c>
      <c r="E2" s="4" t="s">
        <v>67</v>
      </c>
      <c r="F2" s="7">
        <v>46196</v>
      </c>
      <c r="G2" s="5">
        <v>0.2</v>
      </c>
      <c r="H2" s="4" t="s">
        <v>62</v>
      </c>
      <c r="I2" s="4" t="s">
        <v>55</v>
      </c>
      <c r="J2" s="8" t="s">
        <v>78</v>
      </c>
    </row>
    <row r="3" spans="1:10" ht="16" x14ac:dyDescent="0.2">
      <c r="A3" s="4" t="s">
        <v>79</v>
      </c>
      <c r="B3" s="8" t="s">
        <v>80</v>
      </c>
      <c r="C3" s="4" t="s">
        <v>8</v>
      </c>
      <c r="D3" s="4" t="s">
        <v>77</v>
      </c>
      <c r="E3" s="4" t="s">
        <v>67</v>
      </c>
      <c r="F3" s="7">
        <v>46196</v>
      </c>
      <c r="G3" s="5">
        <v>0</v>
      </c>
      <c r="H3" s="4" t="s">
        <v>81</v>
      </c>
      <c r="I3" s="4" t="s">
        <v>66</v>
      </c>
      <c r="J3" s="8" t="s">
        <v>82</v>
      </c>
    </row>
    <row r="4" spans="1:10" ht="32" x14ac:dyDescent="0.2">
      <c r="A4" s="4" t="s">
        <v>83</v>
      </c>
      <c r="B4" s="8" t="s">
        <v>84</v>
      </c>
      <c r="C4" s="4" t="s">
        <v>8</v>
      </c>
      <c r="D4" s="4" t="s">
        <v>85</v>
      </c>
      <c r="E4" s="4" t="s">
        <v>272</v>
      </c>
      <c r="F4" s="7">
        <v>46196</v>
      </c>
      <c r="G4" s="5">
        <v>0.2</v>
      </c>
      <c r="H4" s="4" t="s">
        <v>62</v>
      </c>
      <c r="I4" s="4" t="s">
        <v>55</v>
      </c>
      <c r="J4" s="8" t="s">
        <v>86</v>
      </c>
    </row>
    <row r="5" spans="1:10" ht="16" x14ac:dyDescent="0.2">
      <c r="A5" s="4" t="s">
        <v>87</v>
      </c>
      <c r="B5" s="8" t="s">
        <v>88</v>
      </c>
      <c r="C5" s="4" t="s">
        <v>8</v>
      </c>
      <c r="D5" s="4" t="s">
        <v>85</v>
      </c>
      <c r="E5" s="4" t="s">
        <v>44</v>
      </c>
      <c r="F5" s="7">
        <v>46196</v>
      </c>
      <c r="G5" s="5">
        <v>0.15</v>
      </c>
      <c r="H5" s="4" t="s">
        <v>62</v>
      </c>
      <c r="I5" s="4" t="s">
        <v>55</v>
      </c>
      <c r="J5" s="8" t="s">
        <v>89</v>
      </c>
    </row>
    <row r="6" spans="1:10" ht="16" x14ac:dyDescent="0.2">
      <c r="A6" s="4" t="s">
        <v>90</v>
      </c>
      <c r="B6" s="8" t="s">
        <v>91</v>
      </c>
      <c r="C6" s="4" t="s">
        <v>8</v>
      </c>
      <c r="D6" s="4" t="s">
        <v>92</v>
      </c>
      <c r="E6" s="4" t="s">
        <v>270</v>
      </c>
      <c r="F6" s="7">
        <v>46196</v>
      </c>
      <c r="G6" s="5">
        <v>0.1</v>
      </c>
      <c r="H6" s="4" t="s">
        <v>62</v>
      </c>
      <c r="I6" s="4" t="s">
        <v>55</v>
      </c>
      <c r="J6" s="8" t="s">
        <v>93</v>
      </c>
    </row>
    <row r="7" spans="1:10" ht="16" x14ac:dyDescent="0.2">
      <c r="A7" s="4" t="s">
        <v>94</v>
      </c>
      <c r="B7" s="8" t="s">
        <v>95</v>
      </c>
      <c r="C7" s="4" t="s">
        <v>8</v>
      </c>
      <c r="D7" s="4" t="s">
        <v>85</v>
      </c>
      <c r="E7" s="4" t="s">
        <v>44</v>
      </c>
      <c r="F7" s="7">
        <v>46196</v>
      </c>
      <c r="G7" s="5">
        <v>0</v>
      </c>
      <c r="H7" s="4" t="s">
        <v>81</v>
      </c>
      <c r="I7" s="4" t="s">
        <v>55</v>
      </c>
      <c r="J7" s="8" t="s">
        <v>96</v>
      </c>
    </row>
    <row r="8" spans="1:10" ht="16" x14ac:dyDescent="0.2">
      <c r="A8" s="4" t="s">
        <v>97</v>
      </c>
      <c r="B8" s="8" t="s">
        <v>98</v>
      </c>
      <c r="C8" s="4" t="s">
        <v>8</v>
      </c>
      <c r="D8" s="4" t="s">
        <v>85</v>
      </c>
      <c r="E8" s="4" t="s">
        <v>270</v>
      </c>
      <c r="F8" s="7">
        <v>46196</v>
      </c>
      <c r="G8" s="5">
        <v>0.4</v>
      </c>
      <c r="H8" s="4" t="s">
        <v>62</v>
      </c>
      <c r="I8" s="4" t="s">
        <v>55</v>
      </c>
      <c r="J8" s="8" t="s">
        <v>99</v>
      </c>
    </row>
    <row r="9" spans="1:10" ht="16" x14ac:dyDescent="0.2">
      <c r="A9" s="4" t="s">
        <v>100</v>
      </c>
      <c r="B9" s="8" t="s">
        <v>101</v>
      </c>
      <c r="C9" s="4" t="s">
        <v>8</v>
      </c>
      <c r="D9" s="4" t="s">
        <v>85</v>
      </c>
      <c r="E9" s="4" t="s">
        <v>270</v>
      </c>
      <c r="F9" s="7">
        <v>46196</v>
      </c>
      <c r="G9" s="5">
        <v>0.7</v>
      </c>
      <c r="H9" s="4" t="s">
        <v>62</v>
      </c>
      <c r="I9" s="4" t="s">
        <v>66</v>
      </c>
      <c r="J9" s="8" t="s">
        <v>102</v>
      </c>
    </row>
    <row r="10" spans="1:10" ht="16" x14ac:dyDescent="0.2">
      <c r="A10" s="4" t="s">
        <v>103</v>
      </c>
      <c r="B10" s="8" t="s">
        <v>104</v>
      </c>
      <c r="C10" s="4" t="s">
        <v>8</v>
      </c>
      <c r="D10" s="4" t="s">
        <v>77</v>
      </c>
      <c r="E10" s="4" t="s">
        <v>272</v>
      </c>
      <c r="F10" s="7">
        <v>46196</v>
      </c>
      <c r="G10" s="5">
        <v>0.3</v>
      </c>
      <c r="H10" s="4" t="s">
        <v>62</v>
      </c>
      <c r="I10" s="4" t="s">
        <v>55</v>
      </c>
      <c r="J10" s="8" t="s">
        <v>105</v>
      </c>
    </row>
    <row r="11" spans="1:10" ht="16" x14ac:dyDescent="0.2">
      <c r="A11" s="4" t="s">
        <v>106</v>
      </c>
      <c r="B11" s="8" t="s">
        <v>107</v>
      </c>
      <c r="C11" s="4" t="s">
        <v>8</v>
      </c>
      <c r="D11" s="4" t="s">
        <v>85</v>
      </c>
      <c r="E11" s="4" t="s">
        <v>271</v>
      </c>
      <c r="F11" s="7">
        <v>46196</v>
      </c>
      <c r="G11" s="5">
        <v>0.6</v>
      </c>
      <c r="H11" s="4" t="s">
        <v>62</v>
      </c>
      <c r="I11" s="4" t="s">
        <v>55</v>
      </c>
      <c r="J11" s="8" t="s">
        <v>108</v>
      </c>
    </row>
    <row r="12" spans="1:10" x14ac:dyDescent="0.2">
      <c r="F12" s="9"/>
      <c r="G12" s="10"/>
    </row>
    <row r="13" spans="1:10" x14ac:dyDescent="0.2">
      <c r="F13" s="9"/>
      <c r="G13" s="10"/>
    </row>
    <row r="14" spans="1:10" x14ac:dyDescent="0.2">
      <c r="F14" s="9"/>
      <c r="G14" s="10"/>
    </row>
    <row r="15" spans="1:10" x14ac:dyDescent="0.2">
      <c r="F15" s="9"/>
      <c r="G15" s="10"/>
    </row>
    <row r="16" spans="1:10" x14ac:dyDescent="0.2">
      <c r="F16" s="9"/>
      <c r="G16" s="10"/>
    </row>
    <row r="17" spans="6:7" x14ac:dyDescent="0.2">
      <c r="F17" s="9"/>
      <c r="G17" s="10"/>
    </row>
    <row r="18" spans="6:7" x14ac:dyDescent="0.2">
      <c r="F18" s="9"/>
      <c r="G18" s="10"/>
    </row>
    <row r="19" spans="6:7" x14ac:dyDescent="0.2">
      <c r="F19" s="9"/>
      <c r="G19" s="10"/>
    </row>
    <row r="20" spans="6:7" x14ac:dyDescent="0.2">
      <c r="F20" s="9"/>
      <c r="G20" s="10"/>
    </row>
    <row r="21" spans="6:7" x14ac:dyDescent="0.2">
      <c r="F21" s="9"/>
      <c r="G21" s="10"/>
    </row>
    <row r="22" spans="6:7" x14ac:dyDescent="0.2">
      <c r="F22" s="9"/>
      <c r="G22" s="10"/>
    </row>
    <row r="23" spans="6:7" x14ac:dyDescent="0.2">
      <c r="F23" s="9"/>
      <c r="G23" s="10"/>
    </row>
    <row r="24" spans="6:7" x14ac:dyDescent="0.2">
      <c r="F24" s="9"/>
      <c r="G24" s="10"/>
    </row>
    <row r="25" spans="6:7" x14ac:dyDescent="0.2">
      <c r="F25" s="9"/>
      <c r="G25" s="10"/>
    </row>
    <row r="26" spans="6:7" x14ac:dyDescent="0.2">
      <c r="F26" s="9"/>
      <c r="G26" s="10"/>
    </row>
    <row r="27" spans="6:7" x14ac:dyDescent="0.2">
      <c r="F27" s="9"/>
      <c r="G27" s="10"/>
    </row>
    <row r="28" spans="6:7" x14ac:dyDescent="0.2">
      <c r="F28" s="9"/>
      <c r="G28" s="10"/>
    </row>
    <row r="29" spans="6:7" x14ac:dyDescent="0.2">
      <c r="F29" s="9"/>
      <c r="G29" s="10"/>
    </row>
    <row r="30" spans="6:7" x14ac:dyDescent="0.2">
      <c r="F30" s="9"/>
      <c r="G30" s="10"/>
    </row>
    <row r="31" spans="6:7" x14ac:dyDescent="0.2">
      <c r="F31" s="9"/>
      <c r="G31" s="10"/>
    </row>
    <row r="32" spans="6:7" x14ac:dyDescent="0.2">
      <c r="F32" s="9"/>
      <c r="G32" s="10"/>
    </row>
    <row r="33" spans="6:7" x14ac:dyDescent="0.2">
      <c r="F33" s="9"/>
      <c r="G33" s="10"/>
    </row>
    <row r="34" spans="6:7" x14ac:dyDescent="0.2">
      <c r="F34" s="9"/>
      <c r="G34" s="10"/>
    </row>
    <row r="35" spans="6:7" x14ac:dyDescent="0.2">
      <c r="F35" s="9"/>
      <c r="G35" s="10"/>
    </row>
    <row r="36" spans="6:7" x14ac:dyDescent="0.2">
      <c r="F36" s="9"/>
      <c r="G36" s="10"/>
    </row>
    <row r="37" spans="6:7" x14ac:dyDescent="0.2">
      <c r="F37" s="9"/>
      <c r="G37" s="10"/>
    </row>
    <row r="38" spans="6:7" x14ac:dyDescent="0.2">
      <c r="F38" s="9"/>
      <c r="G38" s="10"/>
    </row>
    <row r="39" spans="6:7" x14ac:dyDescent="0.2">
      <c r="F39" s="9"/>
      <c r="G39" s="10"/>
    </row>
    <row r="40" spans="6:7" x14ac:dyDescent="0.2">
      <c r="F40" s="9"/>
      <c r="G40" s="10"/>
    </row>
    <row r="41" spans="6:7" x14ac:dyDescent="0.2">
      <c r="F41" s="9"/>
      <c r="G41" s="10"/>
    </row>
    <row r="42" spans="6:7" x14ac:dyDescent="0.2">
      <c r="F42" s="9"/>
      <c r="G42" s="10"/>
    </row>
    <row r="43" spans="6:7" x14ac:dyDescent="0.2">
      <c r="F43" s="9"/>
      <c r="G43" s="10"/>
    </row>
    <row r="44" spans="6:7" x14ac:dyDescent="0.2">
      <c r="F44" s="9"/>
      <c r="G44" s="10"/>
    </row>
    <row r="45" spans="6:7" x14ac:dyDescent="0.2">
      <c r="F45" s="9"/>
      <c r="G45" s="10"/>
    </row>
    <row r="46" spans="6:7" x14ac:dyDescent="0.2">
      <c r="F46" s="9"/>
      <c r="G46" s="10"/>
    </row>
    <row r="47" spans="6:7" x14ac:dyDescent="0.2">
      <c r="F47" s="9"/>
      <c r="G47" s="10"/>
    </row>
    <row r="48" spans="6:7" x14ac:dyDescent="0.2">
      <c r="F48" s="9"/>
      <c r="G48" s="10"/>
    </row>
    <row r="49" spans="6:7" x14ac:dyDescent="0.2">
      <c r="F49" s="9"/>
      <c r="G49" s="10"/>
    </row>
    <row r="50" spans="6:7" x14ac:dyDescent="0.2">
      <c r="F50" s="9"/>
      <c r="G50" s="10"/>
    </row>
    <row r="51" spans="6:7" x14ac:dyDescent="0.2">
      <c r="F51" s="9"/>
      <c r="G51" s="10"/>
    </row>
    <row r="52" spans="6:7" x14ac:dyDescent="0.2">
      <c r="F52" s="9"/>
      <c r="G52" s="10"/>
    </row>
    <row r="53" spans="6:7" x14ac:dyDescent="0.2">
      <c r="F53" s="9"/>
      <c r="G53" s="10"/>
    </row>
    <row r="54" spans="6:7" x14ac:dyDescent="0.2">
      <c r="F54" s="9"/>
      <c r="G54" s="10"/>
    </row>
    <row r="55" spans="6:7" x14ac:dyDescent="0.2">
      <c r="F55" s="9"/>
      <c r="G55" s="10"/>
    </row>
    <row r="56" spans="6:7" x14ac:dyDescent="0.2">
      <c r="F56" s="9"/>
      <c r="G56" s="10"/>
    </row>
    <row r="57" spans="6:7" x14ac:dyDescent="0.2">
      <c r="F57" s="9"/>
      <c r="G57" s="10"/>
    </row>
    <row r="58" spans="6:7" x14ac:dyDescent="0.2">
      <c r="F58" s="9"/>
      <c r="G58" s="10"/>
    </row>
    <row r="59" spans="6:7" x14ac:dyDescent="0.2">
      <c r="F59" s="9"/>
      <c r="G59" s="10"/>
    </row>
    <row r="60" spans="6:7" x14ac:dyDescent="0.2">
      <c r="F60" s="9"/>
      <c r="G60" s="10"/>
    </row>
    <row r="61" spans="6:7" x14ac:dyDescent="0.2">
      <c r="F61" s="9"/>
      <c r="G61" s="10"/>
    </row>
    <row r="62" spans="6:7" x14ac:dyDescent="0.2">
      <c r="F62" s="9"/>
      <c r="G62" s="10"/>
    </row>
    <row r="63" spans="6:7" x14ac:dyDescent="0.2">
      <c r="F63" s="9"/>
      <c r="G63" s="10"/>
    </row>
    <row r="64" spans="6:7" x14ac:dyDescent="0.2">
      <c r="F64" s="9"/>
      <c r="G64" s="10"/>
    </row>
    <row r="65" spans="6:7" x14ac:dyDescent="0.2">
      <c r="F65" s="9"/>
      <c r="G65" s="10"/>
    </row>
    <row r="66" spans="6:7" x14ac:dyDescent="0.2">
      <c r="F66" s="9"/>
      <c r="G66" s="10"/>
    </row>
    <row r="67" spans="6:7" x14ac:dyDescent="0.2">
      <c r="F67" s="9"/>
      <c r="G67" s="10"/>
    </row>
    <row r="68" spans="6:7" x14ac:dyDescent="0.2">
      <c r="F68" s="9"/>
      <c r="G68" s="10"/>
    </row>
    <row r="69" spans="6:7" x14ac:dyDescent="0.2">
      <c r="F69" s="9"/>
      <c r="G69" s="10"/>
    </row>
    <row r="70" spans="6:7" x14ac:dyDescent="0.2">
      <c r="F70" s="9"/>
      <c r="G70" s="10"/>
    </row>
    <row r="71" spans="6:7" x14ac:dyDescent="0.2">
      <c r="F71" s="9"/>
      <c r="G71" s="10"/>
    </row>
    <row r="72" spans="6:7" x14ac:dyDescent="0.2">
      <c r="F72" s="9"/>
      <c r="G72" s="10"/>
    </row>
    <row r="73" spans="6:7" x14ac:dyDescent="0.2">
      <c r="F73" s="9"/>
      <c r="G73" s="10"/>
    </row>
    <row r="74" spans="6:7" x14ac:dyDescent="0.2">
      <c r="F74" s="9"/>
      <c r="G74" s="10"/>
    </row>
    <row r="75" spans="6:7" x14ac:dyDescent="0.2">
      <c r="F75" s="9"/>
      <c r="G75" s="10"/>
    </row>
    <row r="76" spans="6:7" x14ac:dyDescent="0.2">
      <c r="F76" s="9"/>
      <c r="G76" s="10"/>
    </row>
    <row r="77" spans="6:7" x14ac:dyDescent="0.2">
      <c r="F77" s="9"/>
      <c r="G77" s="10"/>
    </row>
    <row r="78" spans="6:7" x14ac:dyDescent="0.2">
      <c r="F78" s="9"/>
      <c r="G78" s="10"/>
    </row>
    <row r="79" spans="6:7" x14ac:dyDescent="0.2">
      <c r="F79" s="9"/>
      <c r="G79" s="10"/>
    </row>
    <row r="80" spans="6:7" x14ac:dyDescent="0.2">
      <c r="F80" s="9"/>
      <c r="G80" s="10"/>
    </row>
    <row r="81" spans="6:7" x14ac:dyDescent="0.2">
      <c r="F81" s="9"/>
      <c r="G81" s="10"/>
    </row>
    <row r="82" spans="6:7" x14ac:dyDescent="0.2">
      <c r="F82" s="9"/>
      <c r="G82" s="10"/>
    </row>
    <row r="83" spans="6:7" x14ac:dyDescent="0.2">
      <c r="F83" s="9"/>
      <c r="G83" s="10"/>
    </row>
    <row r="84" spans="6:7" x14ac:dyDescent="0.2">
      <c r="F84" s="9"/>
      <c r="G84" s="10"/>
    </row>
    <row r="85" spans="6:7" x14ac:dyDescent="0.2">
      <c r="F85" s="9"/>
      <c r="G85" s="10"/>
    </row>
    <row r="86" spans="6:7" x14ac:dyDescent="0.2">
      <c r="F86" s="9"/>
      <c r="G86" s="10"/>
    </row>
    <row r="87" spans="6:7" x14ac:dyDescent="0.2">
      <c r="F87" s="9"/>
      <c r="G87" s="10"/>
    </row>
    <row r="88" spans="6:7" x14ac:dyDescent="0.2">
      <c r="F88" s="9"/>
      <c r="G88" s="10"/>
    </row>
    <row r="89" spans="6:7" x14ac:dyDescent="0.2">
      <c r="F89" s="9"/>
      <c r="G89" s="10"/>
    </row>
    <row r="90" spans="6:7" x14ac:dyDescent="0.2">
      <c r="F90" s="9"/>
      <c r="G90" s="10"/>
    </row>
    <row r="91" spans="6:7" x14ac:dyDescent="0.2">
      <c r="F91" s="9"/>
      <c r="G91" s="10"/>
    </row>
    <row r="92" spans="6:7" x14ac:dyDescent="0.2">
      <c r="F92" s="9"/>
      <c r="G92" s="10"/>
    </row>
    <row r="93" spans="6:7" x14ac:dyDescent="0.2">
      <c r="F93" s="9"/>
      <c r="G93" s="10"/>
    </row>
    <row r="94" spans="6:7" x14ac:dyDescent="0.2">
      <c r="F94" s="9"/>
      <c r="G94" s="10"/>
    </row>
    <row r="95" spans="6:7" x14ac:dyDescent="0.2">
      <c r="F95" s="9"/>
      <c r="G95" s="10"/>
    </row>
    <row r="96" spans="6:7" x14ac:dyDescent="0.2">
      <c r="F96" s="9"/>
      <c r="G96" s="10"/>
    </row>
    <row r="97" spans="6:7" x14ac:dyDescent="0.2">
      <c r="F97" s="9"/>
      <c r="G97" s="10"/>
    </row>
    <row r="98" spans="6:7" x14ac:dyDescent="0.2">
      <c r="F98" s="9"/>
      <c r="G98" s="10"/>
    </row>
    <row r="99" spans="6:7" x14ac:dyDescent="0.2">
      <c r="F99" s="9"/>
      <c r="G99" s="10"/>
    </row>
    <row r="100" spans="6:7" x14ac:dyDescent="0.2">
      <c r="F100" s="9"/>
      <c r="G100" s="10"/>
    </row>
    <row r="101" spans="6:7" x14ac:dyDescent="0.2">
      <c r="F101" s="9"/>
      <c r="G101" s="10"/>
    </row>
    <row r="102" spans="6:7" x14ac:dyDescent="0.2">
      <c r="F102" s="9"/>
      <c r="G102" s="10"/>
    </row>
    <row r="103" spans="6:7" x14ac:dyDescent="0.2">
      <c r="F103" s="9"/>
      <c r="G103" s="10"/>
    </row>
    <row r="104" spans="6:7" x14ac:dyDescent="0.2">
      <c r="F104" s="9"/>
      <c r="G104" s="10"/>
    </row>
    <row r="105" spans="6:7" x14ac:dyDescent="0.2">
      <c r="F105" s="9"/>
      <c r="G105" s="10"/>
    </row>
    <row r="106" spans="6:7" x14ac:dyDescent="0.2">
      <c r="F106" s="9"/>
      <c r="G106" s="10"/>
    </row>
    <row r="107" spans="6:7" x14ac:dyDescent="0.2">
      <c r="F107" s="9"/>
      <c r="G107" s="10"/>
    </row>
    <row r="108" spans="6:7" x14ac:dyDescent="0.2">
      <c r="F108" s="9"/>
      <c r="G108" s="10"/>
    </row>
    <row r="109" spans="6:7" x14ac:dyDescent="0.2">
      <c r="F109" s="9"/>
      <c r="G109" s="10"/>
    </row>
    <row r="110" spans="6:7" x14ac:dyDescent="0.2">
      <c r="F110" s="9"/>
      <c r="G110" s="10"/>
    </row>
    <row r="111" spans="6:7" x14ac:dyDescent="0.2">
      <c r="F111" s="9"/>
      <c r="G111" s="10"/>
    </row>
    <row r="112" spans="6:7" x14ac:dyDescent="0.2">
      <c r="F112" s="9"/>
      <c r="G112" s="10"/>
    </row>
    <row r="113" spans="6:7" x14ac:dyDescent="0.2">
      <c r="F113" s="9"/>
      <c r="G113" s="10"/>
    </row>
    <row r="114" spans="6:7" x14ac:dyDescent="0.2">
      <c r="F114" s="9"/>
      <c r="G114" s="10"/>
    </row>
    <row r="115" spans="6:7" x14ac:dyDescent="0.2">
      <c r="F115" s="9"/>
      <c r="G115" s="10"/>
    </row>
    <row r="116" spans="6:7" x14ac:dyDescent="0.2">
      <c r="F116" s="9"/>
      <c r="G116" s="10"/>
    </row>
    <row r="117" spans="6:7" x14ac:dyDescent="0.2">
      <c r="F117" s="9"/>
      <c r="G117" s="10"/>
    </row>
    <row r="118" spans="6:7" x14ac:dyDescent="0.2">
      <c r="F118" s="9"/>
      <c r="G118" s="10"/>
    </row>
    <row r="119" spans="6:7" x14ac:dyDescent="0.2">
      <c r="F119" s="9"/>
      <c r="G119" s="10"/>
    </row>
    <row r="120" spans="6:7" x14ac:dyDescent="0.2">
      <c r="F120" s="9"/>
      <c r="G120" s="10"/>
    </row>
    <row r="121" spans="6:7" x14ac:dyDescent="0.2">
      <c r="F121" s="9"/>
      <c r="G121" s="10"/>
    </row>
    <row r="122" spans="6:7" x14ac:dyDescent="0.2">
      <c r="F122" s="9"/>
      <c r="G122" s="10"/>
    </row>
    <row r="123" spans="6:7" x14ac:dyDescent="0.2">
      <c r="F123" s="9"/>
      <c r="G123" s="10"/>
    </row>
    <row r="124" spans="6:7" x14ac:dyDescent="0.2">
      <c r="F124" s="9"/>
      <c r="G124" s="10"/>
    </row>
    <row r="125" spans="6:7" x14ac:dyDescent="0.2">
      <c r="F125" s="9"/>
      <c r="G125" s="10"/>
    </row>
    <row r="126" spans="6:7" x14ac:dyDescent="0.2">
      <c r="F126" s="9"/>
      <c r="G126" s="10"/>
    </row>
    <row r="127" spans="6:7" x14ac:dyDescent="0.2">
      <c r="F127" s="9"/>
      <c r="G127" s="10"/>
    </row>
    <row r="128" spans="6:7" x14ac:dyDescent="0.2">
      <c r="F128" s="9"/>
      <c r="G128" s="10"/>
    </row>
    <row r="129" spans="6:7" x14ac:dyDescent="0.2">
      <c r="F129" s="9"/>
      <c r="G129" s="10"/>
    </row>
    <row r="130" spans="6:7" x14ac:dyDescent="0.2">
      <c r="F130" s="9"/>
      <c r="G130" s="10"/>
    </row>
    <row r="131" spans="6:7" x14ac:dyDescent="0.2">
      <c r="F131" s="9"/>
      <c r="G131" s="10"/>
    </row>
    <row r="132" spans="6:7" x14ac:dyDescent="0.2">
      <c r="F132" s="9"/>
      <c r="G132" s="10"/>
    </row>
    <row r="133" spans="6:7" x14ac:dyDescent="0.2">
      <c r="F133" s="9"/>
      <c r="G133" s="10"/>
    </row>
    <row r="134" spans="6:7" x14ac:dyDescent="0.2">
      <c r="F134" s="9"/>
      <c r="G134" s="10"/>
    </row>
    <row r="135" spans="6:7" x14ac:dyDescent="0.2">
      <c r="F135" s="9"/>
      <c r="G135" s="10"/>
    </row>
    <row r="136" spans="6:7" x14ac:dyDescent="0.2">
      <c r="F136" s="9"/>
      <c r="G136" s="10"/>
    </row>
    <row r="137" spans="6:7" x14ac:dyDescent="0.2">
      <c r="F137" s="9"/>
      <c r="G137" s="10"/>
    </row>
    <row r="138" spans="6:7" x14ac:dyDescent="0.2">
      <c r="F138" s="9"/>
      <c r="G138" s="10"/>
    </row>
    <row r="139" spans="6:7" x14ac:dyDescent="0.2">
      <c r="F139" s="9"/>
      <c r="G139" s="10"/>
    </row>
    <row r="140" spans="6:7" x14ac:dyDescent="0.2">
      <c r="F140" s="9"/>
      <c r="G140" s="10"/>
    </row>
    <row r="141" spans="6:7" x14ac:dyDescent="0.2">
      <c r="F141" s="9"/>
      <c r="G141" s="10"/>
    </row>
    <row r="142" spans="6:7" x14ac:dyDescent="0.2">
      <c r="F142" s="9"/>
      <c r="G142" s="10"/>
    </row>
    <row r="143" spans="6:7" x14ac:dyDescent="0.2">
      <c r="F143" s="9"/>
      <c r="G143" s="10"/>
    </row>
    <row r="144" spans="6:7" x14ac:dyDescent="0.2">
      <c r="F144" s="9"/>
      <c r="G144" s="10"/>
    </row>
    <row r="145" spans="6:7" x14ac:dyDescent="0.2">
      <c r="F145" s="9"/>
      <c r="G145" s="10"/>
    </row>
    <row r="146" spans="6:7" x14ac:dyDescent="0.2">
      <c r="F146" s="9"/>
      <c r="G146" s="10"/>
    </row>
    <row r="147" spans="6:7" x14ac:dyDescent="0.2">
      <c r="F147" s="9"/>
      <c r="G147" s="10"/>
    </row>
    <row r="148" spans="6:7" x14ac:dyDescent="0.2">
      <c r="F148" s="9"/>
      <c r="G148" s="10"/>
    </row>
    <row r="149" spans="6:7" x14ac:dyDescent="0.2">
      <c r="F149" s="9"/>
      <c r="G149" s="10"/>
    </row>
    <row r="150" spans="6:7" x14ac:dyDescent="0.2">
      <c r="F150" s="9"/>
      <c r="G150" s="10"/>
    </row>
    <row r="151" spans="6:7" x14ac:dyDescent="0.2">
      <c r="F151" s="9"/>
      <c r="G151" s="10"/>
    </row>
    <row r="152" spans="6:7" x14ac:dyDescent="0.2">
      <c r="F152" s="9"/>
      <c r="G152" s="10"/>
    </row>
    <row r="153" spans="6:7" x14ac:dyDescent="0.2">
      <c r="F153" s="9"/>
      <c r="G153" s="10"/>
    </row>
    <row r="154" spans="6:7" x14ac:dyDescent="0.2">
      <c r="F154" s="9"/>
      <c r="G154" s="10"/>
    </row>
    <row r="155" spans="6:7" x14ac:dyDescent="0.2">
      <c r="F155" s="9"/>
      <c r="G155" s="10"/>
    </row>
    <row r="156" spans="6:7" x14ac:dyDescent="0.2">
      <c r="F156" s="9"/>
      <c r="G156" s="10"/>
    </row>
    <row r="157" spans="6:7" x14ac:dyDescent="0.2">
      <c r="F157" s="9"/>
      <c r="G157" s="10"/>
    </row>
    <row r="158" spans="6:7" x14ac:dyDescent="0.2">
      <c r="F158" s="9"/>
      <c r="G158" s="10"/>
    </row>
    <row r="159" spans="6:7" x14ac:dyDescent="0.2">
      <c r="F159" s="9"/>
      <c r="G159" s="10"/>
    </row>
    <row r="160" spans="6:7" x14ac:dyDescent="0.2">
      <c r="F160" s="9"/>
      <c r="G160" s="10"/>
    </row>
    <row r="161" spans="6:7" x14ac:dyDescent="0.2">
      <c r="F161" s="9"/>
      <c r="G161" s="10"/>
    </row>
    <row r="162" spans="6:7" x14ac:dyDescent="0.2">
      <c r="F162" s="9"/>
      <c r="G162" s="10"/>
    </row>
    <row r="163" spans="6:7" x14ac:dyDescent="0.2">
      <c r="F163" s="9"/>
      <c r="G163" s="10"/>
    </row>
    <row r="164" spans="6:7" x14ac:dyDescent="0.2">
      <c r="F164" s="9"/>
      <c r="G164" s="10"/>
    </row>
    <row r="165" spans="6:7" x14ac:dyDescent="0.2">
      <c r="F165" s="9"/>
      <c r="G165" s="10"/>
    </row>
    <row r="166" spans="6:7" x14ac:dyDescent="0.2">
      <c r="F166" s="9"/>
      <c r="G166" s="10"/>
    </row>
    <row r="167" spans="6:7" x14ac:dyDescent="0.2">
      <c r="F167" s="9"/>
      <c r="G167" s="10"/>
    </row>
    <row r="168" spans="6:7" x14ac:dyDescent="0.2">
      <c r="F168" s="9"/>
      <c r="G168" s="10"/>
    </row>
    <row r="169" spans="6:7" x14ac:dyDescent="0.2">
      <c r="F169" s="9"/>
      <c r="G169" s="10"/>
    </row>
    <row r="170" spans="6:7" x14ac:dyDescent="0.2">
      <c r="F170" s="9"/>
      <c r="G170" s="10"/>
    </row>
    <row r="171" spans="6:7" x14ac:dyDescent="0.2">
      <c r="F171" s="9"/>
      <c r="G171" s="10"/>
    </row>
    <row r="172" spans="6:7" x14ac:dyDescent="0.2">
      <c r="F172" s="9"/>
      <c r="G172" s="10"/>
    </row>
    <row r="173" spans="6:7" x14ac:dyDescent="0.2">
      <c r="F173" s="9"/>
      <c r="G173" s="10"/>
    </row>
    <row r="174" spans="6:7" x14ac:dyDescent="0.2">
      <c r="F174" s="9"/>
      <c r="G174" s="10"/>
    </row>
    <row r="175" spans="6:7" x14ac:dyDescent="0.2">
      <c r="F175" s="9"/>
      <c r="G175" s="10"/>
    </row>
    <row r="176" spans="6:7" x14ac:dyDescent="0.2">
      <c r="F176" s="9"/>
      <c r="G176" s="10"/>
    </row>
    <row r="177" spans="6:7" x14ac:dyDescent="0.2">
      <c r="F177" s="9"/>
      <c r="G177" s="10"/>
    </row>
    <row r="178" spans="6:7" x14ac:dyDescent="0.2">
      <c r="F178" s="9"/>
      <c r="G178" s="10"/>
    </row>
    <row r="179" spans="6:7" x14ac:dyDescent="0.2">
      <c r="F179" s="9"/>
      <c r="G179" s="10"/>
    </row>
    <row r="180" spans="6:7" x14ac:dyDescent="0.2">
      <c r="F180" s="9"/>
      <c r="G180" s="10"/>
    </row>
    <row r="181" spans="6:7" x14ac:dyDescent="0.2">
      <c r="F181" s="9"/>
      <c r="G181" s="10"/>
    </row>
    <row r="182" spans="6:7" x14ac:dyDescent="0.2">
      <c r="F182" s="9"/>
      <c r="G182" s="10"/>
    </row>
    <row r="183" spans="6:7" x14ac:dyDescent="0.2">
      <c r="F183" s="9"/>
      <c r="G183" s="10"/>
    </row>
    <row r="184" spans="6:7" x14ac:dyDescent="0.2">
      <c r="F184" s="9"/>
      <c r="G184" s="10"/>
    </row>
    <row r="185" spans="6:7" x14ac:dyDescent="0.2">
      <c r="F185" s="9"/>
      <c r="G185" s="10"/>
    </row>
    <row r="186" spans="6:7" x14ac:dyDescent="0.2">
      <c r="F186" s="9"/>
      <c r="G186" s="10"/>
    </row>
    <row r="187" spans="6:7" x14ac:dyDescent="0.2">
      <c r="F187" s="9"/>
      <c r="G187" s="10"/>
    </row>
    <row r="188" spans="6:7" x14ac:dyDescent="0.2">
      <c r="F188" s="9"/>
      <c r="G188" s="10"/>
    </row>
    <row r="189" spans="6:7" x14ac:dyDescent="0.2">
      <c r="F189" s="9"/>
      <c r="G189" s="10"/>
    </row>
    <row r="190" spans="6:7" x14ac:dyDescent="0.2">
      <c r="F190" s="9"/>
      <c r="G190" s="10"/>
    </row>
    <row r="191" spans="6:7" x14ac:dyDescent="0.2">
      <c r="F191" s="9"/>
      <c r="G191" s="10"/>
    </row>
    <row r="192" spans="6:7" x14ac:dyDescent="0.2">
      <c r="F192" s="9"/>
      <c r="G192" s="10"/>
    </row>
    <row r="193" spans="6:7" x14ac:dyDescent="0.2">
      <c r="F193" s="9"/>
      <c r="G193" s="10"/>
    </row>
    <row r="194" spans="6:7" x14ac:dyDescent="0.2">
      <c r="F194" s="9"/>
      <c r="G194" s="10"/>
    </row>
    <row r="195" spans="6:7" x14ac:dyDescent="0.2">
      <c r="F195" s="9"/>
      <c r="G195" s="10"/>
    </row>
    <row r="196" spans="6:7" x14ac:dyDescent="0.2">
      <c r="F196" s="9"/>
      <c r="G196" s="10"/>
    </row>
    <row r="197" spans="6:7" x14ac:dyDescent="0.2">
      <c r="F197" s="9"/>
      <c r="G197" s="10"/>
    </row>
    <row r="198" spans="6:7" x14ac:dyDescent="0.2">
      <c r="F198" s="9"/>
      <c r="G198" s="10"/>
    </row>
    <row r="199" spans="6:7" x14ac:dyDescent="0.2">
      <c r="F199" s="9"/>
      <c r="G199" s="10"/>
    </row>
  </sheetData>
  <conditionalFormatting sqref="F2:F300">
    <cfRule type="expression" dxfId="22" priority="8">
      <formula>AND($F2&lt;&gt;"",$F2&lt;TODAY(),$H2&lt;&gt;"Done")</formula>
    </cfRule>
  </conditionalFormatting>
  <conditionalFormatting sqref="H2:H300">
    <cfRule type="expression" dxfId="21" priority="2">
      <formula>$H2="In Progress"</formula>
    </cfRule>
    <cfRule type="expression" dxfId="20" priority="3">
      <formula>$H2="Blocked"</formula>
    </cfRule>
    <cfRule type="expression" dxfId="19" priority="4">
      <formula>$H2="Not Started"</formula>
    </cfRule>
    <cfRule type="expression" dxfId="18" priority="1">
      <formula>$H2="Done"</formula>
    </cfRule>
  </conditionalFormatting>
  <conditionalFormatting sqref="I2:I300">
    <cfRule type="expression" dxfId="17" priority="6">
      <formula>$I2="Medium"</formula>
    </cfRule>
    <cfRule type="expression" dxfId="16" priority="7">
      <formula>$I2="Low"</formula>
    </cfRule>
    <cfRule type="expression" dxfId="15" priority="5">
      <formula>$I2="High"</formula>
    </cfRule>
  </conditionalFormatting>
  <dataValidations count="3">
    <dataValidation type="list" allowBlank="1" sqref="H2:H300" xr:uid="{00000000-0002-0000-0300-000000000000}">
      <formula1>"Not Started,In Progress,Blocked,Done,Cancelled"</formula1>
    </dataValidation>
    <dataValidation type="list" allowBlank="1" sqref="I2:I300" xr:uid="{00000000-0002-0000-0300-000001000000}">
      <formula1>"High,Medium,Low"</formula1>
    </dataValidation>
    <dataValidation type="list" allowBlank="1" sqref="C2:C300" xr:uid="{00000000-0002-0000-0300-000002000000}">
      <formula1>"Sprint 0,Sprint 1,Sprint 2,Sprint 3,Sprint 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4" customWidth="1"/>
    <col min="4" max="4" width="12" customWidth="1"/>
    <col min="5" max="5" width="13" customWidth="1"/>
    <col min="6" max="6" width="38" customWidth="1"/>
    <col min="7" max="7" width="35" customWidth="1"/>
  </cols>
  <sheetData>
    <row r="1" spans="1:7" ht="28" customHeight="1" x14ac:dyDescent="0.2">
      <c r="A1" s="1" t="s">
        <v>109</v>
      </c>
      <c r="B1" s="1" t="s">
        <v>110</v>
      </c>
      <c r="C1" s="1" t="s">
        <v>35</v>
      </c>
      <c r="D1" s="1" t="s">
        <v>73</v>
      </c>
      <c r="E1" s="1" t="s">
        <v>19</v>
      </c>
      <c r="F1" s="1" t="s">
        <v>111</v>
      </c>
      <c r="G1" s="1" t="s">
        <v>112</v>
      </c>
    </row>
    <row r="2" spans="1:7" ht="38" customHeight="1" x14ac:dyDescent="0.2">
      <c r="A2" s="8" t="s">
        <v>113</v>
      </c>
      <c r="B2" s="4" t="s">
        <v>114</v>
      </c>
      <c r="C2" s="4" t="s">
        <v>44</v>
      </c>
      <c r="D2" s="7">
        <v>46196</v>
      </c>
      <c r="E2" s="4" t="s">
        <v>57</v>
      </c>
      <c r="F2" s="8" t="s">
        <v>115</v>
      </c>
      <c r="G2" s="8" t="s">
        <v>116</v>
      </c>
    </row>
    <row r="3" spans="1:7" ht="38" customHeight="1" x14ac:dyDescent="0.2">
      <c r="A3" s="8" t="s">
        <v>117</v>
      </c>
      <c r="B3" s="4" t="s">
        <v>114</v>
      </c>
      <c r="C3" s="4" t="s">
        <v>118</v>
      </c>
      <c r="D3" s="7">
        <v>46196</v>
      </c>
      <c r="E3" s="4" t="s">
        <v>57</v>
      </c>
      <c r="F3" s="8" t="s">
        <v>119</v>
      </c>
      <c r="G3" s="8" t="s">
        <v>120</v>
      </c>
    </row>
    <row r="4" spans="1:7" ht="38" customHeight="1" x14ac:dyDescent="0.2">
      <c r="A4" s="8" t="s">
        <v>121</v>
      </c>
      <c r="B4" s="4" t="s">
        <v>122</v>
      </c>
      <c r="C4" s="4" t="s">
        <v>123</v>
      </c>
      <c r="D4" s="7">
        <v>46196</v>
      </c>
      <c r="E4" s="4" t="s">
        <v>57</v>
      </c>
      <c r="F4" s="8" t="s">
        <v>124</v>
      </c>
      <c r="G4" s="8" t="s">
        <v>125</v>
      </c>
    </row>
    <row r="5" spans="1:7" ht="38" customHeight="1" x14ac:dyDescent="0.2">
      <c r="A5" s="8" t="s">
        <v>126</v>
      </c>
      <c r="B5" s="4" t="s">
        <v>127</v>
      </c>
      <c r="C5" s="4" t="s">
        <v>44</v>
      </c>
      <c r="D5" s="7">
        <v>46196</v>
      </c>
      <c r="E5" s="4" t="s">
        <v>81</v>
      </c>
      <c r="F5" s="8" t="s">
        <v>128</v>
      </c>
      <c r="G5" s="8" t="s">
        <v>129</v>
      </c>
    </row>
    <row r="6" spans="1:7" ht="38" customHeight="1" x14ac:dyDescent="0.2">
      <c r="A6" s="8" t="s">
        <v>130</v>
      </c>
      <c r="B6" s="4" t="s">
        <v>131</v>
      </c>
      <c r="C6" s="4" t="s">
        <v>132</v>
      </c>
      <c r="D6" s="7">
        <v>46197</v>
      </c>
      <c r="E6" s="4" t="s">
        <v>57</v>
      </c>
      <c r="F6" s="8" t="s">
        <v>133</v>
      </c>
      <c r="G6" s="8" t="s">
        <v>134</v>
      </c>
    </row>
    <row r="7" spans="1:7" x14ac:dyDescent="0.2">
      <c r="D7" s="9"/>
    </row>
    <row r="8" spans="1:7" x14ac:dyDescent="0.2">
      <c r="D8" s="9"/>
    </row>
    <row r="9" spans="1:7" x14ac:dyDescent="0.2">
      <c r="D9" s="9"/>
    </row>
    <row r="10" spans="1:7" x14ac:dyDescent="0.2">
      <c r="D10" s="9"/>
    </row>
    <row r="11" spans="1:7" x14ac:dyDescent="0.2">
      <c r="D11" s="9"/>
    </row>
    <row r="12" spans="1:7" x14ac:dyDescent="0.2">
      <c r="D12" s="9"/>
    </row>
    <row r="13" spans="1:7" x14ac:dyDescent="0.2">
      <c r="D13" s="9"/>
    </row>
    <row r="14" spans="1:7" x14ac:dyDescent="0.2">
      <c r="D14" s="9"/>
    </row>
    <row r="15" spans="1:7" x14ac:dyDescent="0.2">
      <c r="D15" s="9"/>
    </row>
    <row r="16" spans="1:7" x14ac:dyDescent="0.2">
      <c r="D16" s="9"/>
    </row>
    <row r="17" spans="4:4" x14ac:dyDescent="0.2">
      <c r="D17" s="9"/>
    </row>
    <row r="18" spans="4:4" x14ac:dyDescent="0.2">
      <c r="D18" s="9"/>
    </row>
    <row r="19" spans="4:4" x14ac:dyDescent="0.2">
      <c r="D19" s="9"/>
    </row>
    <row r="20" spans="4:4" x14ac:dyDescent="0.2">
      <c r="D20" s="9"/>
    </row>
    <row r="21" spans="4:4" x14ac:dyDescent="0.2">
      <c r="D21" s="9"/>
    </row>
    <row r="22" spans="4:4" x14ac:dyDescent="0.2">
      <c r="D22" s="9"/>
    </row>
    <row r="23" spans="4:4" x14ac:dyDescent="0.2">
      <c r="D23" s="9"/>
    </row>
    <row r="24" spans="4:4" x14ac:dyDescent="0.2">
      <c r="D24" s="9"/>
    </row>
    <row r="25" spans="4:4" x14ac:dyDescent="0.2">
      <c r="D25" s="9"/>
    </row>
    <row r="26" spans="4:4" x14ac:dyDescent="0.2">
      <c r="D26" s="9"/>
    </row>
    <row r="27" spans="4:4" x14ac:dyDescent="0.2">
      <c r="D27" s="9"/>
    </row>
    <row r="28" spans="4:4" x14ac:dyDescent="0.2">
      <c r="D28" s="9"/>
    </row>
    <row r="29" spans="4:4" x14ac:dyDescent="0.2">
      <c r="D29" s="9"/>
    </row>
    <row r="30" spans="4:4" x14ac:dyDescent="0.2">
      <c r="D30" s="9"/>
    </row>
    <row r="31" spans="4:4" x14ac:dyDescent="0.2">
      <c r="D31" s="9"/>
    </row>
    <row r="32" spans="4:4" x14ac:dyDescent="0.2">
      <c r="D32" s="9"/>
    </row>
    <row r="33" spans="4:4" x14ac:dyDescent="0.2">
      <c r="D33" s="9"/>
    </row>
    <row r="34" spans="4:4" x14ac:dyDescent="0.2">
      <c r="D34" s="9"/>
    </row>
    <row r="35" spans="4:4" x14ac:dyDescent="0.2">
      <c r="D35" s="9"/>
    </row>
    <row r="36" spans="4:4" x14ac:dyDescent="0.2">
      <c r="D36" s="9"/>
    </row>
    <row r="37" spans="4:4" x14ac:dyDescent="0.2">
      <c r="D37" s="9"/>
    </row>
    <row r="38" spans="4:4" x14ac:dyDescent="0.2">
      <c r="D38" s="9"/>
    </row>
    <row r="39" spans="4:4" x14ac:dyDescent="0.2">
      <c r="D39" s="9"/>
    </row>
    <row r="40" spans="4:4" x14ac:dyDescent="0.2">
      <c r="D40" s="9"/>
    </row>
    <row r="41" spans="4:4" x14ac:dyDescent="0.2">
      <c r="D41" s="9"/>
    </row>
    <row r="42" spans="4:4" x14ac:dyDescent="0.2">
      <c r="D42" s="9"/>
    </row>
    <row r="43" spans="4:4" x14ac:dyDescent="0.2">
      <c r="D43" s="9"/>
    </row>
    <row r="44" spans="4:4" x14ac:dyDescent="0.2">
      <c r="D44" s="9"/>
    </row>
    <row r="45" spans="4:4" x14ac:dyDescent="0.2">
      <c r="D45" s="9"/>
    </row>
    <row r="46" spans="4:4" x14ac:dyDescent="0.2">
      <c r="D46" s="9"/>
    </row>
    <row r="47" spans="4:4" x14ac:dyDescent="0.2">
      <c r="D47" s="9"/>
    </row>
    <row r="48" spans="4:4" x14ac:dyDescent="0.2">
      <c r="D48" s="9"/>
    </row>
    <row r="49" spans="4:4" x14ac:dyDescent="0.2">
      <c r="D49" s="9"/>
    </row>
    <row r="50" spans="4:4" x14ac:dyDescent="0.2">
      <c r="D50" s="9"/>
    </row>
    <row r="51" spans="4:4" x14ac:dyDescent="0.2">
      <c r="D51" s="9"/>
    </row>
    <row r="52" spans="4:4" x14ac:dyDescent="0.2">
      <c r="D52" s="9"/>
    </row>
    <row r="53" spans="4:4" x14ac:dyDescent="0.2">
      <c r="D53" s="9"/>
    </row>
    <row r="54" spans="4:4" x14ac:dyDescent="0.2">
      <c r="D54" s="9"/>
    </row>
    <row r="55" spans="4:4" x14ac:dyDescent="0.2">
      <c r="D55" s="9"/>
    </row>
    <row r="56" spans="4:4" x14ac:dyDescent="0.2">
      <c r="D56" s="9"/>
    </row>
    <row r="57" spans="4:4" x14ac:dyDescent="0.2">
      <c r="D57" s="9"/>
    </row>
    <row r="58" spans="4:4" x14ac:dyDescent="0.2">
      <c r="D58" s="9"/>
    </row>
    <row r="59" spans="4:4" x14ac:dyDescent="0.2">
      <c r="D59" s="9"/>
    </row>
    <row r="60" spans="4:4" x14ac:dyDescent="0.2">
      <c r="D60" s="9"/>
    </row>
    <row r="61" spans="4:4" x14ac:dyDescent="0.2">
      <c r="D61" s="9"/>
    </row>
    <row r="62" spans="4:4" x14ac:dyDescent="0.2">
      <c r="D62" s="9"/>
    </row>
    <row r="63" spans="4:4" x14ac:dyDescent="0.2">
      <c r="D63" s="9"/>
    </row>
    <row r="64" spans="4:4" x14ac:dyDescent="0.2">
      <c r="D64" s="9"/>
    </row>
    <row r="65" spans="4:4" x14ac:dyDescent="0.2">
      <c r="D65" s="9"/>
    </row>
    <row r="66" spans="4:4" x14ac:dyDescent="0.2">
      <c r="D66" s="9"/>
    </row>
    <row r="67" spans="4:4" x14ac:dyDescent="0.2">
      <c r="D67" s="9"/>
    </row>
    <row r="68" spans="4:4" x14ac:dyDescent="0.2">
      <c r="D68" s="9"/>
    </row>
    <row r="69" spans="4:4" x14ac:dyDescent="0.2">
      <c r="D69" s="9"/>
    </row>
    <row r="70" spans="4:4" x14ac:dyDescent="0.2">
      <c r="D70" s="9"/>
    </row>
    <row r="71" spans="4:4" x14ac:dyDescent="0.2">
      <c r="D71" s="9"/>
    </row>
    <row r="72" spans="4:4" x14ac:dyDescent="0.2">
      <c r="D72" s="9"/>
    </row>
    <row r="73" spans="4:4" x14ac:dyDescent="0.2">
      <c r="D73" s="9"/>
    </row>
    <row r="74" spans="4:4" x14ac:dyDescent="0.2">
      <c r="D74" s="9"/>
    </row>
    <row r="75" spans="4:4" x14ac:dyDescent="0.2">
      <c r="D75" s="9"/>
    </row>
    <row r="76" spans="4:4" x14ac:dyDescent="0.2">
      <c r="D76" s="9"/>
    </row>
    <row r="77" spans="4:4" x14ac:dyDescent="0.2">
      <c r="D77" s="9"/>
    </row>
    <row r="78" spans="4:4" x14ac:dyDescent="0.2">
      <c r="D78" s="9"/>
    </row>
    <row r="79" spans="4:4" x14ac:dyDescent="0.2">
      <c r="D79" s="9"/>
    </row>
    <row r="80" spans="4:4" x14ac:dyDescent="0.2">
      <c r="D80" s="9"/>
    </row>
    <row r="81" spans="4:4" x14ac:dyDescent="0.2">
      <c r="D81" s="9"/>
    </row>
    <row r="82" spans="4:4" x14ac:dyDescent="0.2">
      <c r="D82" s="9"/>
    </row>
    <row r="83" spans="4:4" x14ac:dyDescent="0.2">
      <c r="D83" s="9"/>
    </row>
    <row r="84" spans="4:4" x14ac:dyDescent="0.2">
      <c r="D84" s="9"/>
    </row>
    <row r="85" spans="4:4" x14ac:dyDescent="0.2">
      <c r="D85" s="9"/>
    </row>
    <row r="86" spans="4:4" x14ac:dyDescent="0.2">
      <c r="D86" s="9"/>
    </row>
    <row r="87" spans="4:4" x14ac:dyDescent="0.2">
      <c r="D87" s="9"/>
    </row>
    <row r="88" spans="4:4" x14ac:dyDescent="0.2">
      <c r="D88" s="9"/>
    </row>
    <row r="89" spans="4:4" x14ac:dyDescent="0.2">
      <c r="D89" s="9"/>
    </row>
    <row r="90" spans="4:4" x14ac:dyDescent="0.2">
      <c r="D90" s="9"/>
    </row>
    <row r="91" spans="4:4" x14ac:dyDescent="0.2">
      <c r="D91" s="9"/>
    </row>
    <row r="92" spans="4:4" x14ac:dyDescent="0.2">
      <c r="D92" s="9"/>
    </row>
    <row r="93" spans="4:4" x14ac:dyDescent="0.2">
      <c r="D93" s="9"/>
    </row>
    <row r="94" spans="4:4" x14ac:dyDescent="0.2">
      <c r="D94" s="9"/>
    </row>
    <row r="95" spans="4:4" x14ac:dyDescent="0.2">
      <c r="D95" s="9"/>
    </row>
    <row r="96" spans="4:4" x14ac:dyDescent="0.2">
      <c r="D96" s="9"/>
    </row>
    <row r="97" spans="4:4" x14ac:dyDescent="0.2">
      <c r="D97" s="9"/>
    </row>
    <row r="98" spans="4:4" x14ac:dyDescent="0.2">
      <c r="D98" s="9"/>
    </row>
    <row r="99" spans="4:4" x14ac:dyDescent="0.2">
      <c r="D99" s="9"/>
    </row>
  </sheetData>
  <conditionalFormatting sqref="D2:D200">
    <cfRule type="expression" dxfId="14" priority="6">
      <formula>AND($D2&lt;&gt;"",$D2&lt;TODAY(),$E2&lt;&gt;"Done",$E2&lt;&gt;"Closed")</formula>
    </cfRule>
  </conditionalFormatting>
  <conditionalFormatting sqref="E2:E200">
    <cfRule type="expression" dxfId="13" priority="1">
      <formula>$E2="Done"</formula>
    </cfRule>
    <cfRule type="expression" dxfId="12" priority="2">
      <formula>$E2="Closed"</formula>
    </cfRule>
    <cfRule type="expression" dxfId="11" priority="3">
      <formula>$E2="In Progress"</formula>
    </cfRule>
    <cfRule type="expression" dxfId="10" priority="4">
      <formula>$E2="Open"</formula>
    </cfRule>
    <cfRule type="expression" dxfId="9" priority="5">
      <formula>$E2="Not Started"</formula>
    </cfRule>
  </conditionalFormatting>
  <dataValidations count="2">
    <dataValidation type="list" allowBlank="1" sqref="E2:E200" xr:uid="{00000000-0002-0000-0400-000000000000}">
      <formula1>"Not Started,Open,In Progress,Done,Closed"</formula1>
    </dataValidation>
    <dataValidation type="list" allowBlank="1" sqref="B2:B200" xr:uid="{00000000-0002-0000-0400-000001000000}">
      <formula1>"Decision,Deliverable,Risk,Resource,Compliance,Tech"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12" customWidth="1"/>
    <col min="4" max="4" width="11" customWidth="1"/>
    <col min="5" max="5" width="12" customWidth="1"/>
    <col min="6" max="6" width="11" customWidth="1"/>
    <col min="7" max="7" width="9" customWidth="1"/>
    <col min="8" max="9" width="12" customWidth="1"/>
    <col min="10" max="10" width="13" customWidth="1"/>
  </cols>
  <sheetData>
    <row r="1" spans="1:10" ht="28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19</v>
      </c>
    </row>
    <row r="2" spans="1:10" ht="16" x14ac:dyDescent="0.2">
      <c r="A2" s="4" t="s">
        <v>8</v>
      </c>
      <c r="B2" s="8" t="s">
        <v>20</v>
      </c>
      <c r="C2" s="4">
        <v>34</v>
      </c>
      <c r="D2" s="4">
        <v>16.5</v>
      </c>
      <c r="E2" s="5">
        <f>D2/C2</f>
        <v>0.48529411764705882</v>
      </c>
      <c r="F2" s="4">
        <v>15</v>
      </c>
      <c r="G2" s="4">
        <v>2</v>
      </c>
      <c r="H2" s="7">
        <v>46195</v>
      </c>
      <c r="I2" s="7">
        <v>46201</v>
      </c>
      <c r="J2" s="4" t="str">
        <f>IF(E2=1,"Done",IF(E2&gt;=0.7,"On Track",IF(E2&gt;=0.3,"In Progress",IF(E2&gt;0,"At Risk","Not Started"))))</f>
        <v>In Progress</v>
      </c>
    </row>
    <row r="3" spans="1:10" ht="16" x14ac:dyDescent="0.2">
      <c r="A3" s="4" t="s">
        <v>21</v>
      </c>
      <c r="B3" s="8" t="s">
        <v>22</v>
      </c>
      <c r="C3" s="4">
        <v>39</v>
      </c>
      <c r="D3" s="4">
        <v>0</v>
      </c>
      <c r="E3" s="5">
        <f>D3/C3</f>
        <v>0</v>
      </c>
      <c r="F3" s="4">
        <v>11</v>
      </c>
      <c r="G3" s="4">
        <v>0</v>
      </c>
      <c r="H3" s="7">
        <v>46202</v>
      </c>
      <c r="I3" s="7">
        <v>46208</v>
      </c>
      <c r="J3" s="4" t="str">
        <f>IF(E3=1,"Done",IF(E3&gt;=0.7,"On Track",IF(E3&gt;=0.3,"In Progress",IF(E3&gt;0,"At Risk","Not Started"))))</f>
        <v>Not Started</v>
      </c>
    </row>
    <row r="4" spans="1:10" ht="16" x14ac:dyDescent="0.2">
      <c r="A4" s="4" t="s">
        <v>23</v>
      </c>
      <c r="B4" s="8" t="s">
        <v>24</v>
      </c>
      <c r="C4" s="4">
        <v>47</v>
      </c>
      <c r="D4" s="4">
        <v>0</v>
      </c>
      <c r="E4" s="5">
        <f>D4/C4</f>
        <v>0</v>
      </c>
      <c r="F4" s="4">
        <v>9</v>
      </c>
      <c r="G4" s="4">
        <v>0</v>
      </c>
      <c r="H4" s="7">
        <v>46209</v>
      </c>
      <c r="I4" s="7">
        <v>46222</v>
      </c>
      <c r="J4" s="4" t="str">
        <f>IF(E4=1,"Done",IF(E4&gt;=0.7,"On Track",IF(E4&gt;=0.3,"In Progress",IF(E4&gt;0,"At Risk","Not Started"))))</f>
        <v>Not Started</v>
      </c>
    </row>
    <row r="5" spans="1:10" ht="16" x14ac:dyDescent="0.2">
      <c r="A5" s="4" t="s">
        <v>25</v>
      </c>
      <c r="B5" s="8" t="s">
        <v>26</v>
      </c>
      <c r="C5" s="4">
        <v>47</v>
      </c>
      <c r="D5" s="4">
        <v>0</v>
      </c>
      <c r="E5" s="5">
        <f>D5/C5</f>
        <v>0</v>
      </c>
      <c r="F5" s="4">
        <v>9</v>
      </c>
      <c r="G5" s="4">
        <v>0</v>
      </c>
      <c r="H5" s="7">
        <v>46223</v>
      </c>
      <c r="I5" s="7">
        <v>46236</v>
      </c>
      <c r="J5" s="4" t="str">
        <f>IF(E5=1,"Done",IF(E5&gt;=0.7,"On Track",IF(E5&gt;=0.3,"In Progress",IF(E5&gt;0,"At Risk","Not Started"))))</f>
        <v>Not Started</v>
      </c>
    </row>
    <row r="6" spans="1:10" ht="16" x14ac:dyDescent="0.2">
      <c r="A6" s="4" t="s">
        <v>27</v>
      </c>
      <c r="B6" s="8" t="s">
        <v>28</v>
      </c>
      <c r="C6" s="4">
        <v>50</v>
      </c>
      <c r="D6" s="4">
        <v>0</v>
      </c>
      <c r="E6" s="5">
        <f>D6/C6</f>
        <v>0</v>
      </c>
      <c r="F6" s="4">
        <v>10</v>
      </c>
      <c r="G6" s="4">
        <v>0</v>
      </c>
      <c r="H6" s="7">
        <v>46237</v>
      </c>
      <c r="I6" s="7">
        <v>46250</v>
      </c>
      <c r="J6" s="4" t="str">
        <f>IF(E6=1,"Done",IF(E6&gt;=0.7,"On Track",IF(E6&gt;=0.3,"In Progress",IF(E6&gt;0,"At Risk","Not Started"))))</f>
        <v>Not Started</v>
      </c>
    </row>
  </sheetData>
  <conditionalFormatting sqref="J2:J20">
    <cfRule type="expression" dxfId="8" priority="1">
      <formula>$J2="Done"</formula>
    </cfRule>
    <cfRule type="expression" dxfId="7" priority="2">
      <formula>$J2="On Track"</formula>
    </cfRule>
    <cfRule type="expression" dxfId="6" priority="3">
      <formula>$J2="In Progress"</formula>
    </cfRule>
    <cfRule type="expression" dxfId="5" priority="4">
      <formula>$J2="At Risk"</formula>
    </cfRule>
    <cfRule type="expression" dxfId="4" priority="5">
      <formula>$J2="Not Started"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9"/>
  <sheetViews>
    <sheetView workbookViewId="0">
      <pane ySplit="3" topLeftCell="A4" activePane="bottomLeft" state="frozen"/>
      <selection pane="bottomLeft" activeCell="G15" sqref="G15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4" width="10" customWidth="1"/>
    <col min="5" max="5" width="6" customWidth="1"/>
    <col min="6" max="6" width="11" customWidth="1"/>
    <col min="7" max="7" width="12" customWidth="1"/>
    <col min="8" max="8" width="13" customWidth="1"/>
    <col min="9" max="9" width="11" customWidth="1"/>
  </cols>
  <sheetData>
    <row r="1" spans="1:9" ht="16" x14ac:dyDescent="0.2">
      <c r="A1" s="21" t="s">
        <v>139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A2" t="s">
        <v>140</v>
      </c>
      <c r="B2" t="s">
        <v>71</v>
      </c>
      <c r="C2" t="s">
        <v>72</v>
      </c>
      <c r="D2" t="s">
        <v>14</v>
      </c>
      <c r="E2" t="s">
        <v>141</v>
      </c>
      <c r="F2" t="s">
        <v>74</v>
      </c>
      <c r="G2" t="s">
        <v>35</v>
      </c>
      <c r="H2" t="s">
        <v>19</v>
      </c>
      <c r="I2" t="s">
        <v>18</v>
      </c>
    </row>
    <row r="3" spans="1:9" ht="28" customHeight="1" x14ac:dyDescent="0.2">
      <c r="A3" s="1" t="s">
        <v>140</v>
      </c>
      <c r="B3" s="1" t="s">
        <v>71</v>
      </c>
      <c r="C3" s="1" t="s">
        <v>72</v>
      </c>
      <c r="D3" s="1" t="s">
        <v>14</v>
      </c>
      <c r="E3" s="1" t="s">
        <v>141</v>
      </c>
      <c r="F3" s="1" t="s">
        <v>74</v>
      </c>
      <c r="G3" s="1" t="s">
        <v>35</v>
      </c>
      <c r="H3" s="1" t="s">
        <v>19</v>
      </c>
      <c r="I3" s="1" t="s">
        <v>18</v>
      </c>
    </row>
    <row r="4" spans="1:9" ht="16" x14ac:dyDescent="0.2">
      <c r="A4" s="4" t="s">
        <v>142</v>
      </c>
      <c r="B4" s="8" t="s">
        <v>143</v>
      </c>
      <c r="C4" s="4" t="s">
        <v>85</v>
      </c>
      <c r="D4" s="4" t="s">
        <v>8</v>
      </c>
      <c r="E4" s="4">
        <v>3</v>
      </c>
      <c r="F4" s="4" t="s">
        <v>55</v>
      </c>
      <c r="G4" s="4" t="s">
        <v>270</v>
      </c>
      <c r="H4" s="4" t="s">
        <v>62</v>
      </c>
      <c r="I4" s="5">
        <v>0.75</v>
      </c>
    </row>
    <row r="5" spans="1:9" ht="16" x14ac:dyDescent="0.2">
      <c r="A5" s="4" t="s">
        <v>144</v>
      </c>
      <c r="B5" s="8" t="s">
        <v>145</v>
      </c>
      <c r="C5" s="4" t="s">
        <v>85</v>
      </c>
      <c r="D5" s="4" t="s">
        <v>8</v>
      </c>
      <c r="E5" s="4">
        <v>3</v>
      </c>
      <c r="F5" s="4" t="s">
        <v>55</v>
      </c>
      <c r="G5" s="4" t="s">
        <v>271</v>
      </c>
      <c r="H5" s="4" t="s">
        <v>62</v>
      </c>
      <c r="I5" s="5">
        <v>0.7</v>
      </c>
    </row>
    <row r="6" spans="1:9" ht="16" x14ac:dyDescent="0.2">
      <c r="A6" s="4" t="s">
        <v>103</v>
      </c>
      <c r="B6" s="8" t="s">
        <v>104</v>
      </c>
      <c r="C6" s="4" t="s">
        <v>77</v>
      </c>
      <c r="D6" s="4" t="s">
        <v>8</v>
      </c>
      <c r="E6" s="4">
        <v>3</v>
      </c>
      <c r="F6" s="4" t="s">
        <v>55</v>
      </c>
      <c r="G6" s="4" t="s">
        <v>272</v>
      </c>
      <c r="H6" s="4" t="s">
        <v>62</v>
      </c>
      <c r="I6" s="5">
        <v>0.3</v>
      </c>
    </row>
    <row r="7" spans="1:9" ht="16" x14ac:dyDescent="0.2">
      <c r="A7" s="4" t="s">
        <v>106</v>
      </c>
      <c r="B7" s="8" t="s">
        <v>107</v>
      </c>
      <c r="C7" s="4" t="s">
        <v>85</v>
      </c>
      <c r="D7" s="4" t="s">
        <v>8</v>
      </c>
      <c r="E7" s="4">
        <v>2</v>
      </c>
      <c r="F7" s="4" t="s">
        <v>55</v>
      </c>
      <c r="G7" s="4" t="s">
        <v>271</v>
      </c>
      <c r="H7" s="4" t="s">
        <v>62</v>
      </c>
      <c r="I7" s="5">
        <v>0.6</v>
      </c>
    </row>
    <row r="8" spans="1:9" ht="16" x14ac:dyDescent="0.2">
      <c r="A8" s="4" t="s">
        <v>97</v>
      </c>
      <c r="B8" s="8" t="s">
        <v>146</v>
      </c>
      <c r="C8" s="4" t="s">
        <v>85</v>
      </c>
      <c r="D8" s="4" t="s">
        <v>8</v>
      </c>
      <c r="E8" s="4">
        <v>2</v>
      </c>
      <c r="F8" s="4" t="s">
        <v>55</v>
      </c>
      <c r="G8" s="4" t="s">
        <v>270</v>
      </c>
      <c r="H8" s="4" t="s">
        <v>62</v>
      </c>
      <c r="I8" s="5">
        <v>0.4</v>
      </c>
    </row>
    <row r="9" spans="1:9" ht="16" x14ac:dyDescent="0.2">
      <c r="A9" s="4" t="s">
        <v>75</v>
      </c>
      <c r="B9" s="8" t="s">
        <v>147</v>
      </c>
      <c r="C9" s="4" t="s">
        <v>77</v>
      </c>
      <c r="D9" s="4" t="s">
        <v>8</v>
      </c>
      <c r="E9" s="4">
        <v>3</v>
      </c>
      <c r="F9" s="4" t="s">
        <v>55</v>
      </c>
      <c r="G9" s="4" t="s">
        <v>67</v>
      </c>
      <c r="H9" s="4" t="s">
        <v>62</v>
      </c>
      <c r="I9" s="5">
        <v>0.2</v>
      </c>
    </row>
    <row r="10" spans="1:9" ht="16" x14ac:dyDescent="0.2">
      <c r="A10" s="4" t="s">
        <v>79</v>
      </c>
      <c r="B10" s="8" t="s">
        <v>80</v>
      </c>
      <c r="C10" s="4" t="s">
        <v>77</v>
      </c>
      <c r="D10" s="4" t="s">
        <v>8</v>
      </c>
      <c r="E10" s="4">
        <v>3</v>
      </c>
      <c r="F10" s="4" t="s">
        <v>66</v>
      </c>
      <c r="G10" s="4" t="s">
        <v>67</v>
      </c>
      <c r="H10" s="4" t="s">
        <v>81</v>
      </c>
      <c r="I10" s="5">
        <v>0</v>
      </c>
    </row>
    <row r="11" spans="1:9" ht="16" x14ac:dyDescent="0.2">
      <c r="A11" s="4" t="s">
        <v>83</v>
      </c>
      <c r="B11" s="8" t="s">
        <v>148</v>
      </c>
      <c r="C11" s="4" t="s">
        <v>85</v>
      </c>
      <c r="D11" s="4" t="s">
        <v>8</v>
      </c>
      <c r="E11" s="4">
        <v>3</v>
      </c>
      <c r="F11" s="4" t="s">
        <v>55</v>
      </c>
      <c r="G11" s="4" t="s">
        <v>272</v>
      </c>
      <c r="H11" s="4" t="s">
        <v>62</v>
      </c>
      <c r="I11" s="5">
        <v>0.2</v>
      </c>
    </row>
    <row r="12" spans="1:9" ht="16" x14ac:dyDescent="0.2">
      <c r="A12" s="4" t="s">
        <v>87</v>
      </c>
      <c r="B12" s="8" t="s">
        <v>149</v>
      </c>
      <c r="C12" s="4" t="s">
        <v>85</v>
      </c>
      <c r="D12" s="4" t="s">
        <v>8</v>
      </c>
      <c r="E12" s="4">
        <v>3</v>
      </c>
      <c r="F12" s="4" t="s">
        <v>55</v>
      </c>
      <c r="G12" s="4" t="s">
        <v>44</v>
      </c>
      <c r="H12" s="4" t="s">
        <v>62</v>
      </c>
      <c r="I12" s="5">
        <v>0.15</v>
      </c>
    </row>
    <row r="13" spans="1:9" ht="16" x14ac:dyDescent="0.2">
      <c r="A13" s="4" t="s">
        <v>90</v>
      </c>
      <c r="B13" s="8" t="s">
        <v>91</v>
      </c>
      <c r="C13" s="4" t="s">
        <v>92</v>
      </c>
      <c r="D13" s="4" t="s">
        <v>8</v>
      </c>
      <c r="E13" s="4">
        <v>3</v>
      </c>
      <c r="F13" s="4" t="s">
        <v>55</v>
      </c>
      <c r="G13" s="4" t="s">
        <v>270</v>
      </c>
      <c r="H13" s="4" t="s">
        <v>62</v>
      </c>
      <c r="I13" s="5">
        <v>0.1</v>
      </c>
    </row>
    <row r="14" spans="1:9" ht="16" x14ac:dyDescent="0.2">
      <c r="A14" s="4" t="s">
        <v>94</v>
      </c>
      <c r="B14" s="8" t="s">
        <v>150</v>
      </c>
      <c r="C14" s="4" t="s">
        <v>85</v>
      </c>
      <c r="D14" s="4" t="s">
        <v>8</v>
      </c>
      <c r="E14" s="4">
        <v>3</v>
      </c>
      <c r="F14" s="4" t="s">
        <v>55</v>
      </c>
      <c r="G14" s="4" t="s">
        <v>44</v>
      </c>
      <c r="H14" s="4" t="s">
        <v>81</v>
      </c>
      <c r="I14" s="5">
        <v>0</v>
      </c>
    </row>
    <row r="15" spans="1:9" ht="16" x14ac:dyDescent="0.2">
      <c r="A15" s="4" t="s">
        <v>151</v>
      </c>
      <c r="B15" s="8" t="s">
        <v>152</v>
      </c>
      <c r="C15" s="4" t="s">
        <v>85</v>
      </c>
      <c r="D15" s="4" t="s">
        <v>8</v>
      </c>
      <c r="E15" s="4">
        <v>2</v>
      </c>
      <c r="F15" s="4" t="s">
        <v>55</v>
      </c>
      <c r="G15" s="4" t="s">
        <v>273</v>
      </c>
      <c r="H15" s="4" t="s">
        <v>62</v>
      </c>
      <c r="I15" s="5">
        <v>0.85</v>
      </c>
    </row>
    <row r="16" spans="1:9" ht="16" x14ac:dyDescent="0.2">
      <c r="A16" s="4" t="s">
        <v>153</v>
      </c>
      <c r="B16" s="8" t="s">
        <v>154</v>
      </c>
      <c r="C16" s="4" t="s">
        <v>85</v>
      </c>
      <c r="D16" s="4" t="s">
        <v>8</v>
      </c>
      <c r="E16" s="4">
        <v>3</v>
      </c>
      <c r="F16" s="4" t="s">
        <v>55</v>
      </c>
      <c r="G16" s="4" t="s">
        <v>44</v>
      </c>
      <c r="H16" s="4" t="s">
        <v>155</v>
      </c>
      <c r="I16" s="5">
        <v>1</v>
      </c>
    </row>
    <row r="17" spans="1:9" ht="16" x14ac:dyDescent="0.2">
      <c r="A17" s="4" t="s">
        <v>156</v>
      </c>
      <c r="B17" s="8" t="s">
        <v>157</v>
      </c>
      <c r="C17" s="4" t="s">
        <v>85</v>
      </c>
      <c r="D17" s="4" t="s">
        <v>8</v>
      </c>
      <c r="E17" s="4">
        <v>2</v>
      </c>
      <c r="F17" s="4" t="s">
        <v>55</v>
      </c>
      <c r="G17" s="4" t="s">
        <v>44</v>
      </c>
      <c r="H17" s="4" t="s">
        <v>155</v>
      </c>
      <c r="I17" s="5">
        <v>1</v>
      </c>
    </row>
    <row r="18" spans="1:9" ht="16" x14ac:dyDescent="0.2">
      <c r="A18" s="4" t="s">
        <v>100</v>
      </c>
      <c r="B18" s="8" t="s">
        <v>101</v>
      </c>
      <c r="C18" s="4" t="s">
        <v>85</v>
      </c>
      <c r="D18" s="4" t="s">
        <v>8</v>
      </c>
      <c r="E18" s="4">
        <v>1</v>
      </c>
      <c r="F18" s="4" t="s">
        <v>55</v>
      </c>
      <c r="G18" s="4" t="s">
        <v>270</v>
      </c>
      <c r="H18" s="4" t="s">
        <v>62</v>
      </c>
      <c r="I18" s="5">
        <v>0.7</v>
      </c>
    </row>
    <row r="19" spans="1:9" ht="16" x14ac:dyDescent="0.2">
      <c r="A19" s="4" t="s">
        <v>158</v>
      </c>
      <c r="B19" s="8" t="s">
        <v>159</v>
      </c>
      <c r="C19" s="4" t="s">
        <v>160</v>
      </c>
      <c r="D19" s="4" t="s">
        <v>21</v>
      </c>
      <c r="E19" s="4">
        <v>3</v>
      </c>
      <c r="F19" s="4" t="s">
        <v>55</v>
      </c>
      <c r="G19" s="4"/>
      <c r="H19" s="4" t="s">
        <v>81</v>
      </c>
      <c r="I19" s="5">
        <v>0</v>
      </c>
    </row>
    <row r="20" spans="1:9" ht="16" x14ac:dyDescent="0.2">
      <c r="A20" s="4" t="s">
        <v>161</v>
      </c>
      <c r="B20" s="8" t="s">
        <v>162</v>
      </c>
      <c r="C20" s="4" t="s">
        <v>163</v>
      </c>
      <c r="D20" s="4" t="s">
        <v>21</v>
      </c>
      <c r="E20" s="4">
        <v>3</v>
      </c>
      <c r="F20" s="4" t="s">
        <v>55</v>
      </c>
      <c r="G20" s="4"/>
      <c r="H20" s="4" t="s">
        <v>81</v>
      </c>
      <c r="I20" s="5">
        <v>0</v>
      </c>
    </row>
    <row r="21" spans="1:9" ht="16" x14ac:dyDescent="0.2">
      <c r="A21" s="4" t="s">
        <v>164</v>
      </c>
      <c r="B21" s="8" t="s">
        <v>165</v>
      </c>
      <c r="C21" s="4" t="s">
        <v>166</v>
      </c>
      <c r="D21" s="4" t="s">
        <v>21</v>
      </c>
      <c r="E21" s="4">
        <v>5</v>
      </c>
      <c r="F21" s="4" t="s">
        <v>55</v>
      </c>
      <c r="G21" s="4"/>
      <c r="H21" s="4" t="s">
        <v>81</v>
      </c>
      <c r="I21" s="5">
        <v>0</v>
      </c>
    </row>
    <row r="22" spans="1:9" ht="16" x14ac:dyDescent="0.2">
      <c r="A22" s="4" t="s">
        <v>167</v>
      </c>
      <c r="B22" s="8" t="s">
        <v>168</v>
      </c>
      <c r="C22" s="4" t="s">
        <v>169</v>
      </c>
      <c r="D22" s="4" t="s">
        <v>21</v>
      </c>
      <c r="E22" s="4">
        <v>2</v>
      </c>
      <c r="F22" s="4" t="s">
        <v>55</v>
      </c>
      <c r="G22" s="4"/>
      <c r="H22" s="4" t="s">
        <v>81</v>
      </c>
      <c r="I22" s="5">
        <v>0</v>
      </c>
    </row>
    <row r="23" spans="1:9" ht="16" x14ac:dyDescent="0.2">
      <c r="A23" s="4" t="s">
        <v>170</v>
      </c>
      <c r="B23" s="8" t="s">
        <v>171</v>
      </c>
      <c r="C23" s="4" t="s">
        <v>169</v>
      </c>
      <c r="D23" s="4" t="s">
        <v>21</v>
      </c>
      <c r="E23" s="4">
        <v>5</v>
      </c>
      <c r="F23" s="4" t="s">
        <v>55</v>
      </c>
      <c r="G23" s="4"/>
      <c r="H23" s="4" t="s">
        <v>81</v>
      </c>
      <c r="I23" s="5">
        <v>0</v>
      </c>
    </row>
    <row r="24" spans="1:9" ht="16" x14ac:dyDescent="0.2">
      <c r="A24" s="4" t="s">
        <v>172</v>
      </c>
      <c r="B24" s="8" t="s">
        <v>173</v>
      </c>
      <c r="C24" s="4" t="s">
        <v>174</v>
      </c>
      <c r="D24" s="4" t="s">
        <v>21</v>
      </c>
      <c r="E24" s="4">
        <v>5</v>
      </c>
      <c r="F24" s="4" t="s">
        <v>55</v>
      </c>
      <c r="G24" s="4"/>
      <c r="H24" s="4" t="s">
        <v>81</v>
      </c>
      <c r="I24" s="5">
        <v>0</v>
      </c>
    </row>
    <row r="25" spans="1:9" ht="16" x14ac:dyDescent="0.2">
      <c r="A25" s="4" t="s">
        <v>175</v>
      </c>
      <c r="B25" s="8" t="s">
        <v>176</v>
      </c>
      <c r="C25" s="4" t="s">
        <v>77</v>
      </c>
      <c r="D25" s="4" t="s">
        <v>21</v>
      </c>
      <c r="E25" s="4">
        <v>5</v>
      </c>
      <c r="F25" s="4" t="s">
        <v>55</v>
      </c>
      <c r="G25" s="4"/>
      <c r="H25" s="4" t="s">
        <v>81</v>
      </c>
      <c r="I25" s="5">
        <v>0</v>
      </c>
    </row>
    <row r="26" spans="1:9" ht="16" x14ac:dyDescent="0.2">
      <c r="A26" s="4" t="s">
        <v>177</v>
      </c>
      <c r="B26" s="8" t="s">
        <v>178</v>
      </c>
      <c r="C26" s="4" t="s">
        <v>92</v>
      </c>
      <c r="D26" s="4" t="s">
        <v>21</v>
      </c>
      <c r="E26" s="4">
        <v>3</v>
      </c>
      <c r="F26" s="4" t="s">
        <v>55</v>
      </c>
      <c r="G26" s="4"/>
      <c r="H26" s="4" t="s">
        <v>81</v>
      </c>
      <c r="I26" s="5">
        <v>0</v>
      </c>
    </row>
    <row r="27" spans="1:9" ht="16" x14ac:dyDescent="0.2">
      <c r="A27" s="4" t="s">
        <v>179</v>
      </c>
      <c r="B27" s="8" t="s">
        <v>180</v>
      </c>
      <c r="C27" s="4" t="s">
        <v>181</v>
      </c>
      <c r="D27" s="4" t="s">
        <v>21</v>
      </c>
      <c r="E27" s="4">
        <v>3</v>
      </c>
      <c r="F27" s="4" t="s">
        <v>66</v>
      </c>
      <c r="G27" s="4"/>
      <c r="H27" s="4" t="s">
        <v>81</v>
      </c>
      <c r="I27" s="5">
        <v>0</v>
      </c>
    </row>
    <row r="28" spans="1:9" ht="16" x14ac:dyDescent="0.2">
      <c r="A28" s="4" t="s">
        <v>182</v>
      </c>
      <c r="B28" s="8" t="s">
        <v>183</v>
      </c>
      <c r="C28" s="4" t="s">
        <v>85</v>
      </c>
      <c r="D28" s="4" t="s">
        <v>21</v>
      </c>
      <c r="E28" s="4">
        <v>2</v>
      </c>
      <c r="F28" s="4" t="s">
        <v>55</v>
      </c>
      <c r="G28" s="4"/>
      <c r="H28" s="4" t="s">
        <v>81</v>
      </c>
      <c r="I28" s="5">
        <v>0</v>
      </c>
    </row>
    <row r="29" spans="1:9" ht="16" x14ac:dyDescent="0.2">
      <c r="A29" s="4" t="s">
        <v>184</v>
      </c>
      <c r="B29" s="8" t="s">
        <v>185</v>
      </c>
      <c r="C29" s="4" t="s">
        <v>169</v>
      </c>
      <c r="D29" s="4" t="s">
        <v>21</v>
      </c>
      <c r="E29" s="4">
        <v>3</v>
      </c>
      <c r="F29" s="4" t="s">
        <v>55</v>
      </c>
      <c r="G29" s="4"/>
      <c r="H29" s="4" t="s">
        <v>81</v>
      </c>
      <c r="I29" s="5">
        <v>0</v>
      </c>
    </row>
    <row r="30" spans="1:9" ht="16" x14ac:dyDescent="0.2">
      <c r="A30" s="4" t="s">
        <v>186</v>
      </c>
      <c r="B30" s="8" t="s">
        <v>187</v>
      </c>
      <c r="C30" s="4" t="s">
        <v>166</v>
      </c>
      <c r="D30" s="4" t="s">
        <v>23</v>
      </c>
      <c r="E30" s="4">
        <v>8</v>
      </c>
      <c r="F30" s="4" t="s">
        <v>55</v>
      </c>
      <c r="G30" s="4"/>
      <c r="H30" s="4" t="s">
        <v>81</v>
      </c>
      <c r="I30" s="5">
        <v>0</v>
      </c>
    </row>
    <row r="31" spans="1:9" ht="16" x14ac:dyDescent="0.2">
      <c r="A31" s="4" t="s">
        <v>188</v>
      </c>
      <c r="B31" s="8" t="s">
        <v>189</v>
      </c>
      <c r="C31" s="4" t="s">
        <v>166</v>
      </c>
      <c r="D31" s="4" t="s">
        <v>23</v>
      </c>
      <c r="E31" s="4">
        <v>5</v>
      </c>
      <c r="F31" s="4" t="s">
        <v>55</v>
      </c>
      <c r="G31" s="4"/>
      <c r="H31" s="4" t="s">
        <v>81</v>
      </c>
      <c r="I31" s="5">
        <v>0</v>
      </c>
    </row>
    <row r="32" spans="1:9" ht="16" x14ac:dyDescent="0.2">
      <c r="A32" s="4" t="s">
        <v>190</v>
      </c>
      <c r="B32" s="8" t="s">
        <v>191</v>
      </c>
      <c r="C32" s="4" t="s">
        <v>169</v>
      </c>
      <c r="D32" s="4" t="s">
        <v>23</v>
      </c>
      <c r="E32" s="4">
        <v>5</v>
      </c>
      <c r="F32" s="4" t="s">
        <v>55</v>
      </c>
      <c r="G32" s="4"/>
      <c r="H32" s="4" t="s">
        <v>81</v>
      </c>
      <c r="I32" s="5">
        <v>0</v>
      </c>
    </row>
    <row r="33" spans="1:9" ht="16" x14ac:dyDescent="0.2">
      <c r="A33" s="4" t="s">
        <v>192</v>
      </c>
      <c r="B33" s="8" t="s">
        <v>193</v>
      </c>
      <c r="C33" s="4" t="s">
        <v>169</v>
      </c>
      <c r="D33" s="4" t="s">
        <v>23</v>
      </c>
      <c r="E33" s="4">
        <v>5</v>
      </c>
      <c r="F33" s="4" t="s">
        <v>55</v>
      </c>
      <c r="G33" s="4"/>
      <c r="H33" s="4" t="s">
        <v>81</v>
      </c>
      <c r="I33" s="5">
        <v>0</v>
      </c>
    </row>
    <row r="34" spans="1:9" ht="16" x14ac:dyDescent="0.2">
      <c r="A34" s="4" t="s">
        <v>194</v>
      </c>
      <c r="B34" s="8" t="s">
        <v>195</v>
      </c>
      <c r="C34" s="4" t="s">
        <v>196</v>
      </c>
      <c r="D34" s="4" t="s">
        <v>23</v>
      </c>
      <c r="E34" s="4">
        <v>5</v>
      </c>
      <c r="F34" s="4" t="s">
        <v>55</v>
      </c>
      <c r="G34" s="4"/>
      <c r="H34" s="4" t="s">
        <v>81</v>
      </c>
      <c r="I34" s="5">
        <v>0</v>
      </c>
    </row>
    <row r="35" spans="1:9" ht="16" x14ac:dyDescent="0.2">
      <c r="A35" s="4" t="s">
        <v>197</v>
      </c>
      <c r="B35" s="8" t="s">
        <v>198</v>
      </c>
      <c r="C35" s="4" t="s">
        <v>199</v>
      </c>
      <c r="D35" s="4" t="s">
        <v>23</v>
      </c>
      <c r="E35" s="4">
        <v>8</v>
      </c>
      <c r="F35" s="4" t="s">
        <v>55</v>
      </c>
      <c r="G35" s="4"/>
      <c r="H35" s="4" t="s">
        <v>81</v>
      </c>
      <c r="I35" s="5">
        <v>0</v>
      </c>
    </row>
    <row r="36" spans="1:9" ht="16" x14ac:dyDescent="0.2">
      <c r="A36" s="4" t="s">
        <v>200</v>
      </c>
      <c r="B36" s="8" t="s">
        <v>201</v>
      </c>
      <c r="C36" s="4" t="s">
        <v>169</v>
      </c>
      <c r="D36" s="4" t="s">
        <v>23</v>
      </c>
      <c r="E36" s="4">
        <v>3</v>
      </c>
      <c r="F36" s="4" t="s">
        <v>66</v>
      </c>
      <c r="G36" s="4"/>
      <c r="H36" s="4" t="s">
        <v>81</v>
      </c>
      <c r="I36" s="5">
        <v>0</v>
      </c>
    </row>
    <row r="37" spans="1:9" ht="16" x14ac:dyDescent="0.2">
      <c r="A37" s="4" t="s">
        <v>202</v>
      </c>
      <c r="B37" s="8" t="s">
        <v>203</v>
      </c>
      <c r="C37" s="4" t="s">
        <v>204</v>
      </c>
      <c r="D37" s="4" t="s">
        <v>23</v>
      </c>
      <c r="E37" s="4">
        <v>5</v>
      </c>
      <c r="F37" s="4" t="s">
        <v>55</v>
      </c>
      <c r="G37" s="4"/>
      <c r="H37" s="4" t="s">
        <v>81</v>
      </c>
      <c r="I37" s="5">
        <v>0</v>
      </c>
    </row>
    <row r="38" spans="1:9" ht="16" x14ac:dyDescent="0.2">
      <c r="A38" s="4" t="s">
        <v>205</v>
      </c>
      <c r="B38" s="8" t="s">
        <v>206</v>
      </c>
      <c r="C38" s="4" t="s">
        <v>160</v>
      </c>
      <c r="D38" s="4" t="s">
        <v>23</v>
      </c>
      <c r="E38" s="4">
        <v>3</v>
      </c>
      <c r="F38" s="4" t="s">
        <v>55</v>
      </c>
      <c r="G38" s="4"/>
      <c r="H38" s="4" t="s">
        <v>81</v>
      </c>
      <c r="I38" s="5">
        <v>0</v>
      </c>
    </row>
    <row r="39" spans="1:9" ht="16" x14ac:dyDescent="0.2">
      <c r="A39" s="4" t="s">
        <v>207</v>
      </c>
      <c r="B39" s="8" t="s">
        <v>208</v>
      </c>
      <c r="C39" s="4" t="s">
        <v>209</v>
      </c>
      <c r="D39" s="4" t="s">
        <v>25</v>
      </c>
      <c r="E39" s="4">
        <v>3</v>
      </c>
      <c r="F39" s="4" t="s">
        <v>55</v>
      </c>
      <c r="G39" s="4"/>
      <c r="H39" s="4" t="s">
        <v>81</v>
      </c>
      <c r="I39" s="5">
        <v>0</v>
      </c>
    </row>
    <row r="40" spans="1:9" ht="16" x14ac:dyDescent="0.2">
      <c r="A40" s="4" t="s">
        <v>210</v>
      </c>
      <c r="B40" s="8" t="s">
        <v>211</v>
      </c>
      <c r="C40" s="4" t="s">
        <v>209</v>
      </c>
      <c r="D40" s="4" t="s">
        <v>25</v>
      </c>
      <c r="E40" s="4">
        <v>8</v>
      </c>
      <c r="F40" s="4" t="s">
        <v>55</v>
      </c>
      <c r="G40" s="4"/>
      <c r="H40" s="4" t="s">
        <v>81</v>
      </c>
      <c r="I40" s="5">
        <v>0</v>
      </c>
    </row>
    <row r="41" spans="1:9" ht="16" x14ac:dyDescent="0.2">
      <c r="A41" s="4" t="s">
        <v>212</v>
      </c>
      <c r="B41" s="8" t="s">
        <v>213</v>
      </c>
      <c r="C41" s="4" t="s">
        <v>181</v>
      </c>
      <c r="D41" s="4" t="s">
        <v>25</v>
      </c>
      <c r="E41" s="4">
        <v>8</v>
      </c>
      <c r="F41" s="4" t="s">
        <v>55</v>
      </c>
      <c r="G41" s="4"/>
      <c r="H41" s="4" t="s">
        <v>81</v>
      </c>
      <c r="I41" s="5">
        <v>0</v>
      </c>
    </row>
    <row r="42" spans="1:9" ht="16" x14ac:dyDescent="0.2">
      <c r="A42" s="4" t="s">
        <v>214</v>
      </c>
      <c r="B42" s="8" t="s">
        <v>215</v>
      </c>
      <c r="C42" s="4" t="s">
        <v>216</v>
      </c>
      <c r="D42" s="4" t="s">
        <v>25</v>
      </c>
      <c r="E42" s="4">
        <v>8</v>
      </c>
      <c r="F42" s="4" t="s">
        <v>55</v>
      </c>
      <c r="G42" s="4"/>
      <c r="H42" s="4" t="s">
        <v>81</v>
      </c>
      <c r="I42" s="5">
        <v>0</v>
      </c>
    </row>
    <row r="43" spans="1:9" ht="16" x14ac:dyDescent="0.2">
      <c r="A43" s="4" t="s">
        <v>217</v>
      </c>
      <c r="B43" s="8" t="s">
        <v>218</v>
      </c>
      <c r="C43" s="4" t="s">
        <v>216</v>
      </c>
      <c r="D43" s="4" t="s">
        <v>25</v>
      </c>
      <c r="E43" s="4">
        <v>3</v>
      </c>
      <c r="F43" s="4" t="s">
        <v>66</v>
      </c>
      <c r="G43" s="4"/>
      <c r="H43" s="4" t="s">
        <v>81</v>
      </c>
      <c r="I43" s="5">
        <v>0</v>
      </c>
    </row>
    <row r="44" spans="1:9" ht="16" x14ac:dyDescent="0.2">
      <c r="A44" s="4" t="s">
        <v>219</v>
      </c>
      <c r="B44" s="8" t="s">
        <v>220</v>
      </c>
      <c r="C44" s="4" t="s">
        <v>221</v>
      </c>
      <c r="D44" s="4" t="s">
        <v>25</v>
      </c>
      <c r="E44" s="4">
        <v>5</v>
      </c>
      <c r="F44" s="4" t="s">
        <v>55</v>
      </c>
      <c r="G44" s="4"/>
      <c r="H44" s="4" t="s">
        <v>81</v>
      </c>
      <c r="I44" s="5">
        <v>0</v>
      </c>
    </row>
    <row r="45" spans="1:9" ht="16" x14ac:dyDescent="0.2">
      <c r="A45" s="4" t="s">
        <v>222</v>
      </c>
      <c r="B45" s="8" t="s">
        <v>223</v>
      </c>
      <c r="C45" s="4" t="s">
        <v>174</v>
      </c>
      <c r="D45" s="4" t="s">
        <v>25</v>
      </c>
      <c r="E45" s="4">
        <v>5</v>
      </c>
      <c r="F45" s="4" t="s">
        <v>55</v>
      </c>
      <c r="G45" s="4"/>
      <c r="H45" s="4" t="s">
        <v>81</v>
      </c>
      <c r="I45" s="5">
        <v>0</v>
      </c>
    </row>
    <row r="46" spans="1:9" ht="16" x14ac:dyDescent="0.2">
      <c r="A46" s="4" t="s">
        <v>224</v>
      </c>
      <c r="B46" s="8" t="s">
        <v>225</v>
      </c>
      <c r="C46" s="4" t="s">
        <v>221</v>
      </c>
      <c r="D46" s="4" t="s">
        <v>25</v>
      </c>
      <c r="E46" s="4">
        <v>3</v>
      </c>
      <c r="F46" s="4" t="s">
        <v>55</v>
      </c>
      <c r="G46" s="4"/>
      <c r="H46" s="4" t="s">
        <v>81</v>
      </c>
      <c r="I46" s="5">
        <v>0</v>
      </c>
    </row>
    <row r="47" spans="1:9" ht="16" x14ac:dyDescent="0.2">
      <c r="A47" s="4" t="s">
        <v>226</v>
      </c>
      <c r="B47" s="8" t="s">
        <v>227</v>
      </c>
      <c r="C47" s="4" t="s">
        <v>77</v>
      </c>
      <c r="D47" s="4" t="s">
        <v>25</v>
      </c>
      <c r="E47" s="4">
        <v>5</v>
      </c>
      <c r="F47" s="4" t="s">
        <v>55</v>
      </c>
      <c r="G47" s="4"/>
      <c r="H47" s="4" t="s">
        <v>81</v>
      </c>
      <c r="I47" s="5">
        <v>0</v>
      </c>
    </row>
    <row r="48" spans="1:9" ht="16" x14ac:dyDescent="0.2">
      <c r="A48" s="4" t="s">
        <v>228</v>
      </c>
      <c r="B48" s="8" t="s">
        <v>229</v>
      </c>
      <c r="C48" s="4" t="s">
        <v>92</v>
      </c>
      <c r="D48" s="4" t="s">
        <v>27</v>
      </c>
      <c r="E48" s="4">
        <v>8</v>
      </c>
      <c r="F48" s="4" t="s">
        <v>55</v>
      </c>
      <c r="G48" s="4"/>
      <c r="H48" s="4" t="s">
        <v>81</v>
      </c>
      <c r="I48" s="5">
        <v>0</v>
      </c>
    </row>
    <row r="49" spans="1:9" ht="16" x14ac:dyDescent="0.2">
      <c r="A49" s="4" t="s">
        <v>230</v>
      </c>
      <c r="B49" s="8" t="s">
        <v>231</v>
      </c>
      <c r="C49" s="4" t="s">
        <v>196</v>
      </c>
      <c r="D49" s="4" t="s">
        <v>27</v>
      </c>
      <c r="E49" s="4">
        <v>5</v>
      </c>
      <c r="F49" s="4" t="s">
        <v>55</v>
      </c>
      <c r="G49" s="4"/>
      <c r="H49" s="4" t="s">
        <v>81</v>
      </c>
      <c r="I49" s="5">
        <v>0</v>
      </c>
    </row>
    <row r="50" spans="1:9" ht="16" x14ac:dyDescent="0.2">
      <c r="A50" s="4" t="s">
        <v>232</v>
      </c>
      <c r="B50" s="8" t="s">
        <v>233</v>
      </c>
      <c r="C50" s="4" t="s">
        <v>196</v>
      </c>
      <c r="D50" s="4" t="s">
        <v>27</v>
      </c>
      <c r="E50" s="4">
        <v>5</v>
      </c>
      <c r="F50" s="4" t="s">
        <v>55</v>
      </c>
      <c r="G50" s="4"/>
      <c r="H50" s="4" t="s">
        <v>81</v>
      </c>
      <c r="I50" s="5">
        <v>0</v>
      </c>
    </row>
    <row r="51" spans="1:9" ht="16" x14ac:dyDescent="0.2">
      <c r="A51" s="4" t="s">
        <v>234</v>
      </c>
      <c r="B51" s="8" t="s">
        <v>235</v>
      </c>
      <c r="C51" s="4" t="s">
        <v>204</v>
      </c>
      <c r="D51" s="4" t="s">
        <v>27</v>
      </c>
      <c r="E51" s="4">
        <v>5</v>
      </c>
      <c r="F51" s="4" t="s">
        <v>55</v>
      </c>
      <c r="G51" s="4"/>
      <c r="H51" s="4" t="s">
        <v>81</v>
      </c>
      <c r="I51" s="5">
        <v>0</v>
      </c>
    </row>
    <row r="52" spans="1:9" ht="16" x14ac:dyDescent="0.2">
      <c r="A52" s="4" t="s">
        <v>236</v>
      </c>
      <c r="B52" s="8" t="s">
        <v>237</v>
      </c>
      <c r="C52" s="4" t="s">
        <v>221</v>
      </c>
      <c r="D52" s="4" t="s">
        <v>27</v>
      </c>
      <c r="E52" s="4">
        <v>5</v>
      </c>
      <c r="F52" s="4" t="s">
        <v>55</v>
      </c>
      <c r="G52" s="4"/>
      <c r="H52" s="4" t="s">
        <v>81</v>
      </c>
      <c r="I52" s="5">
        <v>0</v>
      </c>
    </row>
    <row r="53" spans="1:9" ht="16" x14ac:dyDescent="0.2">
      <c r="A53" s="4" t="s">
        <v>238</v>
      </c>
      <c r="B53" s="8" t="s">
        <v>239</v>
      </c>
      <c r="C53" s="4" t="s">
        <v>160</v>
      </c>
      <c r="D53" s="4" t="s">
        <v>27</v>
      </c>
      <c r="E53" s="4">
        <v>3</v>
      </c>
      <c r="F53" s="4" t="s">
        <v>55</v>
      </c>
      <c r="G53" s="4"/>
      <c r="H53" s="4" t="s">
        <v>81</v>
      </c>
      <c r="I53" s="5">
        <v>0</v>
      </c>
    </row>
    <row r="54" spans="1:9" ht="16" x14ac:dyDescent="0.2">
      <c r="A54" s="4" t="s">
        <v>240</v>
      </c>
      <c r="B54" s="8" t="s">
        <v>241</v>
      </c>
      <c r="C54" s="4" t="s">
        <v>196</v>
      </c>
      <c r="D54" s="4" t="s">
        <v>27</v>
      </c>
      <c r="E54" s="4">
        <v>5</v>
      </c>
      <c r="F54" s="4" t="s">
        <v>55</v>
      </c>
      <c r="G54" s="4"/>
      <c r="H54" s="4" t="s">
        <v>81</v>
      </c>
      <c r="I54" s="5">
        <v>0</v>
      </c>
    </row>
    <row r="55" spans="1:9" ht="16" x14ac:dyDescent="0.2">
      <c r="A55" s="4" t="s">
        <v>242</v>
      </c>
      <c r="B55" s="8" t="s">
        <v>243</v>
      </c>
      <c r="C55" s="4" t="s">
        <v>77</v>
      </c>
      <c r="D55" s="4" t="s">
        <v>27</v>
      </c>
      <c r="E55" s="4">
        <v>8</v>
      </c>
      <c r="F55" s="4" t="s">
        <v>55</v>
      </c>
      <c r="G55" s="4"/>
      <c r="H55" s="4" t="s">
        <v>81</v>
      </c>
      <c r="I55" s="5">
        <v>0</v>
      </c>
    </row>
    <row r="56" spans="1:9" ht="16" x14ac:dyDescent="0.2">
      <c r="A56" s="4" t="s">
        <v>244</v>
      </c>
      <c r="B56" s="8" t="s">
        <v>245</v>
      </c>
      <c r="C56" s="4" t="s">
        <v>85</v>
      </c>
      <c r="D56" s="4" t="s">
        <v>27</v>
      </c>
      <c r="E56" s="4">
        <v>3</v>
      </c>
      <c r="F56" s="4" t="s">
        <v>55</v>
      </c>
      <c r="G56" s="4"/>
      <c r="H56" s="4" t="s">
        <v>81</v>
      </c>
      <c r="I56" s="5">
        <v>0</v>
      </c>
    </row>
    <row r="57" spans="1:9" ht="16" x14ac:dyDescent="0.2">
      <c r="A57" s="4" t="s">
        <v>246</v>
      </c>
      <c r="B57" s="8" t="s">
        <v>247</v>
      </c>
      <c r="C57" s="4" t="s">
        <v>85</v>
      </c>
      <c r="D57" s="4" t="s">
        <v>27</v>
      </c>
      <c r="E57" s="4">
        <v>3</v>
      </c>
      <c r="F57" s="4" t="s">
        <v>66</v>
      </c>
      <c r="G57" s="4"/>
      <c r="H57" s="4" t="s">
        <v>81</v>
      </c>
      <c r="I57" s="5">
        <v>0</v>
      </c>
    </row>
    <row r="58" spans="1:9" x14ac:dyDescent="0.2">
      <c r="I58" s="10"/>
    </row>
    <row r="59" spans="1:9" x14ac:dyDescent="0.2">
      <c r="I59" s="10"/>
    </row>
    <row r="60" spans="1:9" x14ac:dyDescent="0.2">
      <c r="I60" s="10"/>
    </row>
    <row r="61" spans="1:9" x14ac:dyDescent="0.2">
      <c r="I61" s="10"/>
    </row>
    <row r="62" spans="1:9" x14ac:dyDescent="0.2">
      <c r="I62" s="10"/>
    </row>
    <row r="63" spans="1:9" x14ac:dyDescent="0.2">
      <c r="I63" s="10"/>
    </row>
    <row r="64" spans="1:9" x14ac:dyDescent="0.2">
      <c r="I64" s="10"/>
    </row>
    <row r="65" spans="9:9" x14ac:dyDescent="0.2">
      <c r="I65" s="10"/>
    </row>
    <row r="66" spans="9:9" x14ac:dyDescent="0.2">
      <c r="I66" s="10"/>
    </row>
    <row r="67" spans="9:9" x14ac:dyDescent="0.2">
      <c r="I67" s="10"/>
    </row>
    <row r="68" spans="9:9" x14ac:dyDescent="0.2">
      <c r="I68" s="10"/>
    </row>
    <row r="69" spans="9:9" x14ac:dyDescent="0.2">
      <c r="I69" s="10"/>
    </row>
    <row r="70" spans="9:9" x14ac:dyDescent="0.2">
      <c r="I70" s="10"/>
    </row>
    <row r="71" spans="9:9" x14ac:dyDescent="0.2">
      <c r="I71" s="10"/>
    </row>
    <row r="72" spans="9:9" x14ac:dyDescent="0.2">
      <c r="I72" s="10"/>
    </row>
    <row r="73" spans="9:9" x14ac:dyDescent="0.2">
      <c r="I73" s="10"/>
    </row>
    <row r="74" spans="9:9" x14ac:dyDescent="0.2">
      <c r="I74" s="10"/>
    </row>
    <row r="75" spans="9:9" x14ac:dyDescent="0.2">
      <c r="I75" s="10"/>
    </row>
    <row r="76" spans="9:9" x14ac:dyDescent="0.2">
      <c r="I76" s="10"/>
    </row>
    <row r="77" spans="9:9" x14ac:dyDescent="0.2">
      <c r="I77" s="10"/>
    </row>
    <row r="78" spans="9:9" x14ac:dyDescent="0.2">
      <c r="I78" s="10"/>
    </row>
    <row r="79" spans="9:9" x14ac:dyDescent="0.2">
      <c r="I79" s="10"/>
    </row>
    <row r="80" spans="9:9" x14ac:dyDescent="0.2">
      <c r="I80" s="10"/>
    </row>
    <row r="81" spans="9:9" x14ac:dyDescent="0.2">
      <c r="I81" s="10"/>
    </row>
    <row r="82" spans="9:9" x14ac:dyDescent="0.2">
      <c r="I82" s="10"/>
    </row>
    <row r="83" spans="9:9" x14ac:dyDescent="0.2">
      <c r="I83" s="10"/>
    </row>
    <row r="84" spans="9:9" x14ac:dyDescent="0.2">
      <c r="I84" s="10"/>
    </row>
    <row r="85" spans="9:9" x14ac:dyDescent="0.2">
      <c r="I85" s="10"/>
    </row>
    <row r="86" spans="9:9" x14ac:dyDescent="0.2">
      <c r="I86" s="10"/>
    </row>
    <row r="87" spans="9:9" x14ac:dyDescent="0.2">
      <c r="I87" s="10"/>
    </row>
    <row r="88" spans="9:9" x14ac:dyDescent="0.2">
      <c r="I88" s="10"/>
    </row>
    <row r="89" spans="9:9" x14ac:dyDescent="0.2">
      <c r="I89" s="10"/>
    </row>
    <row r="90" spans="9:9" x14ac:dyDescent="0.2">
      <c r="I90" s="10"/>
    </row>
    <row r="91" spans="9:9" x14ac:dyDescent="0.2">
      <c r="I91" s="10"/>
    </row>
    <row r="92" spans="9:9" x14ac:dyDescent="0.2">
      <c r="I92" s="10"/>
    </row>
    <row r="93" spans="9:9" x14ac:dyDescent="0.2">
      <c r="I93" s="10"/>
    </row>
    <row r="94" spans="9:9" x14ac:dyDescent="0.2">
      <c r="I94" s="10"/>
    </row>
    <row r="95" spans="9:9" x14ac:dyDescent="0.2">
      <c r="I95" s="10"/>
    </row>
    <row r="96" spans="9:9" x14ac:dyDescent="0.2">
      <c r="I96" s="10"/>
    </row>
    <row r="97" spans="9:9" x14ac:dyDescent="0.2">
      <c r="I97" s="10"/>
    </row>
    <row r="98" spans="9:9" x14ac:dyDescent="0.2">
      <c r="I98" s="10"/>
    </row>
    <row r="99" spans="9:9" x14ac:dyDescent="0.2">
      <c r="I99" s="10"/>
    </row>
    <row r="100" spans="9:9" x14ac:dyDescent="0.2">
      <c r="I100" s="10"/>
    </row>
    <row r="101" spans="9:9" x14ac:dyDescent="0.2">
      <c r="I101" s="10"/>
    </row>
    <row r="102" spans="9:9" x14ac:dyDescent="0.2">
      <c r="I102" s="10"/>
    </row>
    <row r="103" spans="9:9" x14ac:dyDescent="0.2">
      <c r="I103" s="10"/>
    </row>
    <row r="104" spans="9:9" x14ac:dyDescent="0.2">
      <c r="I104" s="10"/>
    </row>
    <row r="105" spans="9:9" x14ac:dyDescent="0.2">
      <c r="I105" s="10"/>
    </row>
    <row r="106" spans="9:9" x14ac:dyDescent="0.2">
      <c r="I106" s="10"/>
    </row>
    <row r="107" spans="9:9" x14ac:dyDescent="0.2">
      <c r="I107" s="10"/>
    </row>
    <row r="108" spans="9:9" x14ac:dyDescent="0.2">
      <c r="I108" s="10"/>
    </row>
    <row r="109" spans="9:9" x14ac:dyDescent="0.2">
      <c r="I109" s="10"/>
    </row>
    <row r="110" spans="9:9" x14ac:dyDescent="0.2">
      <c r="I110" s="10"/>
    </row>
    <row r="111" spans="9:9" x14ac:dyDescent="0.2">
      <c r="I111" s="10"/>
    </row>
    <row r="112" spans="9:9" x14ac:dyDescent="0.2">
      <c r="I112" s="10"/>
    </row>
    <row r="113" spans="9:9" x14ac:dyDescent="0.2">
      <c r="I113" s="10"/>
    </row>
    <row r="114" spans="9:9" x14ac:dyDescent="0.2">
      <c r="I114" s="10"/>
    </row>
    <row r="115" spans="9:9" x14ac:dyDescent="0.2">
      <c r="I115" s="10"/>
    </row>
    <row r="116" spans="9:9" x14ac:dyDescent="0.2">
      <c r="I116" s="10"/>
    </row>
    <row r="117" spans="9:9" x14ac:dyDescent="0.2">
      <c r="I117" s="10"/>
    </row>
    <row r="118" spans="9:9" x14ac:dyDescent="0.2">
      <c r="I118" s="10"/>
    </row>
    <row r="119" spans="9:9" x14ac:dyDescent="0.2">
      <c r="I119" s="10"/>
    </row>
    <row r="120" spans="9:9" x14ac:dyDescent="0.2">
      <c r="I120" s="10"/>
    </row>
    <row r="121" spans="9:9" x14ac:dyDescent="0.2">
      <c r="I121" s="10"/>
    </row>
    <row r="122" spans="9:9" x14ac:dyDescent="0.2">
      <c r="I122" s="10"/>
    </row>
    <row r="123" spans="9:9" x14ac:dyDescent="0.2">
      <c r="I123" s="10"/>
    </row>
    <row r="124" spans="9:9" x14ac:dyDescent="0.2">
      <c r="I124" s="10"/>
    </row>
    <row r="125" spans="9:9" x14ac:dyDescent="0.2">
      <c r="I125" s="10"/>
    </row>
    <row r="126" spans="9:9" x14ac:dyDescent="0.2">
      <c r="I126" s="10"/>
    </row>
    <row r="127" spans="9:9" x14ac:dyDescent="0.2">
      <c r="I127" s="10"/>
    </row>
    <row r="128" spans="9:9" x14ac:dyDescent="0.2">
      <c r="I128" s="10"/>
    </row>
    <row r="129" spans="9:9" x14ac:dyDescent="0.2">
      <c r="I129" s="10"/>
    </row>
    <row r="130" spans="9:9" x14ac:dyDescent="0.2">
      <c r="I130" s="10"/>
    </row>
    <row r="131" spans="9:9" x14ac:dyDescent="0.2">
      <c r="I131" s="10"/>
    </row>
    <row r="132" spans="9:9" x14ac:dyDescent="0.2">
      <c r="I132" s="10"/>
    </row>
    <row r="133" spans="9:9" x14ac:dyDescent="0.2">
      <c r="I133" s="10"/>
    </row>
    <row r="134" spans="9:9" x14ac:dyDescent="0.2">
      <c r="I134" s="10"/>
    </row>
    <row r="135" spans="9:9" x14ac:dyDescent="0.2">
      <c r="I135" s="10"/>
    </row>
    <row r="136" spans="9:9" x14ac:dyDescent="0.2">
      <c r="I136" s="10"/>
    </row>
    <row r="137" spans="9:9" x14ac:dyDescent="0.2">
      <c r="I137" s="10"/>
    </row>
    <row r="138" spans="9:9" x14ac:dyDescent="0.2">
      <c r="I138" s="10"/>
    </row>
    <row r="139" spans="9:9" x14ac:dyDescent="0.2">
      <c r="I139" s="10"/>
    </row>
    <row r="140" spans="9:9" x14ac:dyDescent="0.2">
      <c r="I140" s="10"/>
    </row>
    <row r="141" spans="9:9" x14ac:dyDescent="0.2">
      <c r="I141" s="10"/>
    </row>
    <row r="142" spans="9:9" x14ac:dyDescent="0.2">
      <c r="I142" s="10"/>
    </row>
    <row r="143" spans="9:9" x14ac:dyDescent="0.2">
      <c r="I143" s="10"/>
    </row>
    <row r="144" spans="9:9" x14ac:dyDescent="0.2">
      <c r="I144" s="10"/>
    </row>
    <row r="145" spans="9:9" x14ac:dyDescent="0.2">
      <c r="I145" s="10"/>
    </row>
    <row r="146" spans="9:9" x14ac:dyDescent="0.2">
      <c r="I146" s="10"/>
    </row>
    <row r="147" spans="9:9" x14ac:dyDescent="0.2">
      <c r="I147" s="10"/>
    </row>
    <row r="148" spans="9:9" x14ac:dyDescent="0.2">
      <c r="I148" s="10"/>
    </row>
    <row r="149" spans="9:9" x14ac:dyDescent="0.2">
      <c r="I149" s="10"/>
    </row>
    <row r="150" spans="9:9" x14ac:dyDescent="0.2">
      <c r="I150" s="10"/>
    </row>
    <row r="151" spans="9:9" x14ac:dyDescent="0.2">
      <c r="I151" s="10"/>
    </row>
    <row r="152" spans="9:9" x14ac:dyDescent="0.2">
      <c r="I152" s="10"/>
    </row>
    <row r="153" spans="9:9" x14ac:dyDescent="0.2">
      <c r="I153" s="10"/>
    </row>
    <row r="154" spans="9:9" x14ac:dyDescent="0.2">
      <c r="I154" s="10"/>
    </row>
    <row r="155" spans="9:9" x14ac:dyDescent="0.2">
      <c r="I155" s="10"/>
    </row>
    <row r="156" spans="9:9" x14ac:dyDescent="0.2">
      <c r="I156" s="10"/>
    </row>
    <row r="157" spans="9:9" x14ac:dyDescent="0.2">
      <c r="I157" s="10"/>
    </row>
    <row r="158" spans="9:9" x14ac:dyDescent="0.2">
      <c r="I158" s="10"/>
    </row>
    <row r="159" spans="9:9" x14ac:dyDescent="0.2">
      <c r="I159" s="10"/>
    </row>
    <row r="160" spans="9:9" x14ac:dyDescent="0.2">
      <c r="I160" s="10"/>
    </row>
    <row r="161" spans="9:9" x14ac:dyDescent="0.2">
      <c r="I161" s="10"/>
    </row>
    <row r="162" spans="9:9" x14ac:dyDescent="0.2">
      <c r="I162" s="10"/>
    </row>
    <row r="163" spans="9:9" x14ac:dyDescent="0.2">
      <c r="I163" s="10"/>
    </row>
    <row r="164" spans="9:9" x14ac:dyDescent="0.2">
      <c r="I164" s="10"/>
    </row>
    <row r="165" spans="9:9" x14ac:dyDescent="0.2">
      <c r="I165" s="10"/>
    </row>
    <row r="166" spans="9:9" x14ac:dyDescent="0.2">
      <c r="I166" s="10"/>
    </row>
    <row r="167" spans="9:9" x14ac:dyDescent="0.2">
      <c r="I167" s="10"/>
    </row>
    <row r="168" spans="9:9" x14ac:dyDescent="0.2">
      <c r="I168" s="10"/>
    </row>
    <row r="169" spans="9:9" x14ac:dyDescent="0.2">
      <c r="I169" s="10"/>
    </row>
    <row r="170" spans="9:9" x14ac:dyDescent="0.2">
      <c r="I170" s="10"/>
    </row>
    <row r="171" spans="9:9" x14ac:dyDescent="0.2">
      <c r="I171" s="10"/>
    </row>
    <row r="172" spans="9:9" x14ac:dyDescent="0.2">
      <c r="I172" s="10"/>
    </row>
    <row r="173" spans="9:9" x14ac:dyDescent="0.2">
      <c r="I173" s="10"/>
    </row>
    <row r="174" spans="9:9" x14ac:dyDescent="0.2">
      <c r="I174" s="10"/>
    </row>
    <row r="175" spans="9:9" x14ac:dyDescent="0.2">
      <c r="I175" s="10"/>
    </row>
    <row r="176" spans="9:9" x14ac:dyDescent="0.2">
      <c r="I176" s="10"/>
    </row>
    <row r="177" spans="9:9" x14ac:dyDescent="0.2">
      <c r="I177" s="10"/>
    </row>
    <row r="178" spans="9:9" x14ac:dyDescent="0.2">
      <c r="I178" s="10"/>
    </row>
    <row r="179" spans="9:9" x14ac:dyDescent="0.2">
      <c r="I179" s="10"/>
    </row>
    <row r="180" spans="9:9" x14ac:dyDescent="0.2">
      <c r="I180" s="10"/>
    </row>
    <row r="181" spans="9:9" x14ac:dyDescent="0.2">
      <c r="I181" s="10"/>
    </row>
    <row r="182" spans="9:9" x14ac:dyDescent="0.2">
      <c r="I182" s="10"/>
    </row>
    <row r="183" spans="9:9" x14ac:dyDescent="0.2">
      <c r="I183" s="10"/>
    </row>
    <row r="184" spans="9:9" x14ac:dyDescent="0.2">
      <c r="I184" s="10"/>
    </row>
    <row r="185" spans="9:9" x14ac:dyDescent="0.2">
      <c r="I185" s="10"/>
    </row>
    <row r="186" spans="9:9" x14ac:dyDescent="0.2">
      <c r="I186" s="10"/>
    </row>
    <row r="187" spans="9:9" x14ac:dyDescent="0.2">
      <c r="I187" s="10"/>
    </row>
    <row r="188" spans="9:9" x14ac:dyDescent="0.2">
      <c r="I188" s="10"/>
    </row>
    <row r="189" spans="9:9" x14ac:dyDescent="0.2">
      <c r="I189" s="10"/>
    </row>
    <row r="190" spans="9:9" x14ac:dyDescent="0.2">
      <c r="I190" s="10"/>
    </row>
    <row r="191" spans="9:9" x14ac:dyDescent="0.2">
      <c r="I191" s="10"/>
    </row>
    <row r="192" spans="9:9" x14ac:dyDescent="0.2">
      <c r="I192" s="10"/>
    </row>
    <row r="193" spans="9:9" x14ac:dyDescent="0.2">
      <c r="I193" s="10"/>
    </row>
    <row r="194" spans="9:9" x14ac:dyDescent="0.2">
      <c r="I194" s="10"/>
    </row>
    <row r="195" spans="9:9" x14ac:dyDescent="0.2">
      <c r="I195" s="10"/>
    </row>
    <row r="196" spans="9:9" x14ac:dyDescent="0.2">
      <c r="I196" s="10"/>
    </row>
    <row r="197" spans="9:9" x14ac:dyDescent="0.2">
      <c r="I197" s="10"/>
    </row>
    <row r="198" spans="9:9" x14ac:dyDescent="0.2">
      <c r="I198" s="10"/>
    </row>
    <row r="199" spans="9:9" x14ac:dyDescent="0.2">
      <c r="I199" s="10"/>
    </row>
  </sheetData>
  <mergeCells count="1">
    <mergeCell ref="A1:I1"/>
  </mergeCells>
  <conditionalFormatting sqref="H4:H300">
    <cfRule type="expression" dxfId="3" priority="1">
      <formula>$H4="Done"</formula>
    </cfRule>
    <cfRule type="expression" dxfId="2" priority="2">
      <formula>$H4="In Progress"</formula>
    </cfRule>
    <cfRule type="expression" dxfId="1" priority="3">
      <formula>$H4="Blocked"</formula>
    </cfRule>
    <cfRule type="expression" dxfId="0" priority="4">
      <formula>$H4="Not Started"</formula>
    </cfRule>
  </conditionalFormatting>
  <dataValidations count="2">
    <dataValidation type="list" allowBlank="1" sqref="H4:H300" xr:uid="{00000000-0002-0000-0600-000000000000}">
      <formula1>"Not Started,In Progress,Blocked,Done,Cancelled"</formula1>
    </dataValidation>
    <dataValidation type="list" allowBlank="1" sqref="F4:F300" xr:uid="{00000000-0002-0000-0600-000001000000}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110" customWidth="1"/>
  </cols>
  <sheetData>
    <row r="1" spans="1:6" ht="24" x14ac:dyDescent="0.3">
      <c r="A1" s="20" t="s">
        <v>248</v>
      </c>
      <c r="B1" s="13"/>
      <c r="C1" s="13"/>
      <c r="D1" s="13"/>
      <c r="E1" s="13"/>
      <c r="F1" s="13"/>
    </row>
    <row r="2" spans="1:6" x14ac:dyDescent="0.2">
      <c r="A2" s="11"/>
    </row>
    <row r="3" spans="1:6" ht="16" x14ac:dyDescent="0.2">
      <c r="A3" s="11" t="s">
        <v>249</v>
      </c>
    </row>
    <row r="4" spans="1:6" ht="32" x14ac:dyDescent="0.2">
      <c r="A4" s="11" t="s">
        <v>250</v>
      </c>
    </row>
    <row r="5" spans="1:6" ht="16" x14ac:dyDescent="0.2">
      <c r="A5" s="11" t="s">
        <v>251</v>
      </c>
    </row>
    <row r="6" spans="1:6" ht="16" x14ac:dyDescent="0.2">
      <c r="A6" s="11" t="s">
        <v>252</v>
      </c>
    </row>
    <row r="7" spans="1:6" ht="16" x14ac:dyDescent="0.2">
      <c r="A7" s="11" t="s">
        <v>253</v>
      </c>
    </row>
    <row r="8" spans="1:6" ht="16" x14ac:dyDescent="0.2">
      <c r="A8" s="11" t="s">
        <v>254</v>
      </c>
    </row>
    <row r="9" spans="1:6" x14ac:dyDescent="0.2">
      <c r="A9" s="11"/>
    </row>
    <row r="10" spans="1:6" ht="16" x14ac:dyDescent="0.2">
      <c r="A10" s="11" t="s">
        <v>255</v>
      </c>
    </row>
    <row r="11" spans="1:6" x14ac:dyDescent="0.2">
      <c r="A11" s="11"/>
    </row>
    <row r="12" spans="1:6" ht="16" x14ac:dyDescent="0.2">
      <c r="A12" s="11" t="s">
        <v>256</v>
      </c>
    </row>
    <row r="13" spans="1:6" ht="16" x14ac:dyDescent="0.2">
      <c r="A13" s="11" t="s">
        <v>257</v>
      </c>
    </row>
    <row r="14" spans="1:6" ht="16" x14ac:dyDescent="0.2">
      <c r="A14" s="11" t="s">
        <v>258</v>
      </c>
    </row>
    <row r="15" spans="1:6" ht="16" x14ac:dyDescent="0.2">
      <c r="A15" s="11" t="s">
        <v>259</v>
      </c>
    </row>
    <row r="16" spans="1:6" ht="16" x14ac:dyDescent="0.2">
      <c r="A16" s="11" t="s">
        <v>260</v>
      </c>
    </row>
    <row r="17" spans="1:1" x14ac:dyDescent="0.2">
      <c r="A17" s="11"/>
    </row>
    <row r="18" spans="1:1" ht="16" x14ac:dyDescent="0.2">
      <c r="A18" s="11" t="s">
        <v>261</v>
      </c>
    </row>
    <row r="19" spans="1:1" x14ac:dyDescent="0.2">
      <c r="A19" s="11"/>
    </row>
    <row r="20" spans="1:1" ht="16" x14ac:dyDescent="0.2">
      <c r="A20" s="11" t="s">
        <v>262</v>
      </c>
    </row>
    <row r="21" spans="1:1" ht="16" x14ac:dyDescent="0.2">
      <c r="A21" s="11" t="s">
        <v>263</v>
      </c>
    </row>
    <row r="22" spans="1:1" ht="16" x14ac:dyDescent="0.2">
      <c r="A22" s="11" t="s">
        <v>264</v>
      </c>
    </row>
    <row r="23" spans="1:1" ht="16" x14ac:dyDescent="0.2">
      <c r="A23" s="11" t="s">
        <v>265</v>
      </c>
    </row>
    <row r="24" spans="1:1" ht="16" x14ac:dyDescent="0.2">
      <c r="A24" s="11" t="s">
        <v>266</v>
      </c>
    </row>
    <row r="25" spans="1:1" ht="16" x14ac:dyDescent="0.2">
      <c r="A25" s="11" t="s">
        <v>267</v>
      </c>
    </row>
    <row r="26" spans="1:1" ht="16" x14ac:dyDescent="0.2">
      <c r="A26" s="11" t="s">
        <v>268</v>
      </c>
    </row>
    <row r="27" spans="1:1" ht="16" x14ac:dyDescent="0.2">
      <c r="A27" s="11" t="s">
        <v>269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Daily Log</vt:lpstr>
      <vt:lpstr>Blockers</vt:lpstr>
      <vt:lpstr>Pending Tasks</vt:lpstr>
      <vt:lpstr>High Priority</vt:lpstr>
      <vt:lpstr>Sprint Tracker</vt:lpstr>
      <vt:lpstr>Backlog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2026-06-22T18:03:17Z</dcterms:created>
  <dcterms:modified xsi:type="dcterms:W3CDTF">2026-06-22T18:13:53Z</dcterms:modified>
</cp:coreProperties>
</file>